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19200" windowHeight="7640" activeTab="4"/>
  </bookViews>
  <sheets>
    <sheet name="Customers" sheetId="1" r:id="rId1"/>
    <sheet name="Products" sheetId="2" r:id="rId2"/>
    <sheet name="orders" sheetId="3" r:id="rId3"/>
    <sheet name="pivot table" sheetId="11" r:id="rId4"/>
    <sheet name="Dasboard" sheetId="12" r:id="rId5"/>
  </sheets>
  <definedNames>
    <definedName name="Slicer_City">#N/A</definedName>
    <definedName name="Slicer_Months">#N/A</definedName>
    <definedName name="Slicer_Payment_Method">#N/A</definedName>
  </definedNames>
  <calcPr calcId="162913"/>
  <pivotCaches>
    <pivotCache cacheId="4"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2" l="1"/>
  <c r="A2" i="12"/>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5" i="3"/>
  <c r="E6" i="3"/>
  <c r="E7" i="3"/>
  <c r="E8" i="3"/>
  <c r="E9" i="3"/>
  <c r="E10" i="3"/>
  <c r="E11" i="3"/>
  <c r="E12" i="3"/>
  <c r="E13" i="3"/>
  <c r="E14" i="3"/>
  <c r="E15" i="3"/>
  <c r="E16" i="3"/>
  <c r="E17" i="3"/>
  <c r="E18" i="3"/>
  <c r="E19" i="3"/>
  <c r="E20" i="3"/>
  <c r="E21" i="3"/>
  <c r="E22" i="3"/>
  <c r="E23" i="3"/>
  <c r="E24" i="3"/>
  <c r="E25" i="3"/>
  <c r="E26" i="3"/>
  <c r="E27" i="3"/>
  <c r="E28" i="3"/>
  <c r="E3" i="3"/>
  <c r="E4" i="3"/>
  <c r="E2" i="3"/>
</calcChain>
</file>

<file path=xl/sharedStrings.xml><?xml version="1.0" encoding="utf-8"?>
<sst xmlns="http://schemas.openxmlformats.org/spreadsheetml/2006/main" count="785" uniqueCount="322">
  <si>
    <t>Customer_ID</t>
  </si>
  <si>
    <t>Name</t>
  </si>
  <si>
    <t>Age</t>
  </si>
  <si>
    <t>City</t>
  </si>
  <si>
    <t>CUST-001</t>
  </si>
  <si>
    <t>David Kiptoo</t>
  </si>
  <si>
    <t>Eldoret</t>
  </si>
  <si>
    <t>CUST-002</t>
  </si>
  <si>
    <t>James Odhiambo</t>
  </si>
  <si>
    <t>Nakuru</t>
  </si>
  <si>
    <t>CUST-003</t>
  </si>
  <si>
    <t>Mercy Njeri</t>
  </si>
  <si>
    <t>Nairobi</t>
  </si>
  <si>
    <t>CUST-004</t>
  </si>
  <si>
    <t>CUST-005</t>
  </si>
  <si>
    <t>Peter Mutua</t>
  </si>
  <si>
    <t>Kisumu</t>
  </si>
  <si>
    <t>CUST-006</t>
  </si>
  <si>
    <t>Ann Wairimu</t>
  </si>
  <si>
    <t>CUST-007</t>
  </si>
  <si>
    <t>CUST-008</t>
  </si>
  <si>
    <t>Faith Achieng</t>
  </si>
  <si>
    <t>CUST-009</t>
  </si>
  <si>
    <t>CUST-010</t>
  </si>
  <si>
    <t>CUST-011</t>
  </si>
  <si>
    <t>Mary Wanjiku</t>
  </si>
  <si>
    <t>CUST-012</t>
  </si>
  <si>
    <t>CUST-013</t>
  </si>
  <si>
    <t>CUST-014</t>
  </si>
  <si>
    <t>CUST-015</t>
  </si>
  <si>
    <t>Mombasa</t>
  </si>
  <si>
    <t>CUST-016</t>
  </si>
  <si>
    <t>CUST-017</t>
  </si>
  <si>
    <t>CUST-018</t>
  </si>
  <si>
    <t>Kevin Mwangi</t>
  </si>
  <si>
    <t>CUST-019</t>
  </si>
  <si>
    <t>CUST-020</t>
  </si>
  <si>
    <t>CUST-021</t>
  </si>
  <si>
    <t>John Kamau</t>
  </si>
  <si>
    <t>CUST-022</t>
  </si>
  <si>
    <t>CUST-023</t>
  </si>
  <si>
    <t>CUST-024</t>
  </si>
  <si>
    <t>CUST-025</t>
  </si>
  <si>
    <t>CUST-026</t>
  </si>
  <si>
    <t>CUST-027</t>
  </si>
  <si>
    <t>CUST-028</t>
  </si>
  <si>
    <t>CUST-029</t>
  </si>
  <si>
    <t>CUST-030</t>
  </si>
  <si>
    <t>CUST-031</t>
  </si>
  <si>
    <t>CUST-032</t>
  </si>
  <si>
    <t>CUST-033</t>
  </si>
  <si>
    <t>CUST-034</t>
  </si>
  <si>
    <t>Brian Otieno</t>
  </si>
  <si>
    <t>CUST-035</t>
  </si>
  <si>
    <t>CUST-036</t>
  </si>
  <si>
    <t>CUST-037</t>
  </si>
  <si>
    <t>CUST-038</t>
  </si>
  <si>
    <t>CUST-039</t>
  </si>
  <si>
    <t>CUST-040</t>
  </si>
  <si>
    <t>CUST-041</t>
  </si>
  <si>
    <t>CUST-042</t>
  </si>
  <si>
    <t>CUST-043</t>
  </si>
  <si>
    <t>CUST-044</t>
  </si>
  <si>
    <t>CUST-045</t>
  </si>
  <si>
    <t>CUST-046</t>
  </si>
  <si>
    <t>CUST-047</t>
  </si>
  <si>
    <t>CUST-048</t>
  </si>
  <si>
    <t>CUST-049</t>
  </si>
  <si>
    <t>CUST-050</t>
  </si>
  <si>
    <t>Product_ID</t>
  </si>
  <si>
    <t>Product_Name</t>
  </si>
  <si>
    <t>Category</t>
  </si>
  <si>
    <t>Price_KES</t>
  </si>
  <si>
    <t>PRD-001</t>
  </si>
  <si>
    <t>Cooking Pot</t>
  </si>
  <si>
    <t>Home &amp; Living</t>
  </si>
  <si>
    <t>PRD-002</t>
  </si>
  <si>
    <t>Smartphone</t>
  </si>
  <si>
    <t>Electronics</t>
  </si>
  <si>
    <t>PRD-003</t>
  </si>
  <si>
    <t>Ankara Dress</t>
  </si>
  <si>
    <t>Clothing</t>
  </si>
  <si>
    <t>PRD-004</t>
  </si>
  <si>
    <t>PRD-005</t>
  </si>
  <si>
    <t>Sofa Set</t>
  </si>
  <si>
    <t>PRD-006</t>
  </si>
  <si>
    <t>Hair Oil</t>
  </si>
  <si>
    <t>Beauty</t>
  </si>
  <si>
    <t>PRD-007</t>
  </si>
  <si>
    <t>Rice 5kg</t>
  </si>
  <si>
    <t>Groceries</t>
  </si>
  <si>
    <t>PRD-008</t>
  </si>
  <si>
    <t>Bluetooth Speaker</t>
  </si>
  <si>
    <t>PRD-009</t>
  </si>
  <si>
    <t>PRD-010</t>
  </si>
  <si>
    <t>Maize Flour</t>
  </si>
  <si>
    <t>PRD-011</t>
  </si>
  <si>
    <t>PRD-012</t>
  </si>
  <si>
    <t>PRD-013</t>
  </si>
  <si>
    <t>PRD-014</t>
  </si>
  <si>
    <t>PRD-015</t>
  </si>
  <si>
    <t>PRD-016</t>
  </si>
  <si>
    <t>PRD-017</t>
  </si>
  <si>
    <t>PRD-018</t>
  </si>
  <si>
    <t>PRD-019</t>
  </si>
  <si>
    <t>PRD-020</t>
  </si>
  <si>
    <t>PRD-021</t>
  </si>
  <si>
    <t>PRD-022</t>
  </si>
  <si>
    <t>Body Lotion</t>
  </si>
  <si>
    <t>PRD-023</t>
  </si>
  <si>
    <t>PRD-024</t>
  </si>
  <si>
    <t>PRD-025</t>
  </si>
  <si>
    <t>PRD-026</t>
  </si>
  <si>
    <t>PRD-027</t>
  </si>
  <si>
    <t>PRD-028</t>
  </si>
  <si>
    <t>Kitenge Shirt</t>
  </si>
  <si>
    <t>PRD-029</t>
  </si>
  <si>
    <t>PRD-030</t>
  </si>
  <si>
    <t>Order_ID</t>
  </si>
  <si>
    <t>Order_Date</t>
  </si>
  <si>
    <t>Quantity</t>
  </si>
  <si>
    <t>Payment_Method</t>
  </si>
  <si>
    <t>ORD-001</t>
  </si>
  <si>
    <t>29/06/2024</t>
  </si>
  <si>
    <t>Cash</t>
  </si>
  <si>
    <t>ORD-002</t>
  </si>
  <si>
    <t>29/10/2024</t>
  </si>
  <si>
    <t>Airtel Money</t>
  </si>
  <si>
    <t>ORD-003</t>
  </si>
  <si>
    <t>26/06/2024</t>
  </si>
  <si>
    <t>M-Pesa</t>
  </si>
  <si>
    <t>ORD-004</t>
  </si>
  <si>
    <t>20/06/2024</t>
  </si>
  <si>
    <t>ORD-005</t>
  </si>
  <si>
    <t>04/09/2024</t>
  </si>
  <si>
    <t>ORD-006</t>
  </si>
  <si>
    <t>13/01/2024</t>
  </si>
  <si>
    <t>ORD-007</t>
  </si>
  <si>
    <t>24/03/2024</t>
  </si>
  <si>
    <t>ORD-008</t>
  </si>
  <si>
    <t>08/03/2024</t>
  </si>
  <si>
    <t>ORD-009</t>
  </si>
  <si>
    <t>26/07/2024</t>
  </si>
  <si>
    <t>Card</t>
  </si>
  <si>
    <t>ORD-010</t>
  </si>
  <si>
    <t>02/01/2024</t>
  </si>
  <si>
    <t>ORD-011</t>
  </si>
  <si>
    <t>19/03/2024</t>
  </si>
  <si>
    <t>ORD-012</t>
  </si>
  <si>
    <t>26/08/2024</t>
  </si>
  <si>
    <t>ORD-013</t>
  </si>
  <si>
    <t>18/04/2024</t>
  </si>
  <si>
    <t>ORD-014</t>
  </si>
  <si>
    <t>10/08/2024</t>
  </si>
  <si>
    <t>ORD-015</t>
  </si>
  <si>
    <t>23/11/2024</t>
  </si>
  <si>
    <t>ORD-016</t>
  </si>
  <si>
    <t>24/10/2024</t>
  </si>
  <si>
    <t>ORD-017</t>
  </si>
  <si>
    <t>17/05/2024</t>
  </si>
  <si>
    <t>ORD-018</t>
  </si>
  <si>
    <t>23/04/2024</t>
  </si>
  <si>
    <t>ORD-019</t>
  </si>
  <si>
    <t>06/03/2024</t>
  </si>
  <si>
    <t>ORD-020</t>
  </si>
  <si>
    <t>15/04/2024</t>
  </si>
  <si>
    <t>ORD-021</t>
  </si>
  <si>
    <t>15/05/2024</t>
  </si>
  <si>
    <t>ORD-022</t>
  </si>
  <si>
    <t>18/05/2024</t>
  </si>
  <si>
    <t>ORD-023</t>
  </si>
  <si>
    <t>03/04/2024</t>
  </si>
  <si>
    <t>ORD-024</t>
  </si>
  <si>
    <t>02/06/2024</t>
  </si>
  <si>
    <t>ORD-025</t>
  </si>
  <si>
    <t>22/01/2024</t>
  </si>
  <si>
    <t>ORD-026</t>
  </si>
  <si>
    <t>27/01/2024</t>
  </si>
  <si>
    <t>ORD-027</t>
  </si>
  <si>
    <t>16/08/2024</t>
  </si>
  <si>
    <t>ORD-028</t>
  </si>
  <si>
    <t>09/07/2024</t>
  </si>
  <si>
    <t>ORD-029</t>
  </si>
  <si>
    <t>12/05/2024</t>
  </si>
  <si>
    <t>ORD-030</t>
  </si>
  <si>
    <t>17/03/2024</t>
  </si>
  <si>
    <t>ORD-031</t>
  </si>
  <si>
    <t>31/05/2024</t>
  </si>
  <si>
    <t>ORD-032</t>
  </si>
  <si>
    <t>31/01/2024</t>
  </si>
  <si>
    <t>ORD-033</t>
  </si>
  <si>
    <t>29/08/2024</t>
  </si>
  <si>
    <t>ORD-034</t>
  </si>
  <si>
    <t>18/07/2024</t>
  </si>
  <si>
    <t>ORD-035</t>
  </si>
  <si>
    <t>03/08/2024</t>
  </si>
  <si>
    <t>ORD-036</t>
  </si>
  <si>
    <t>15/11/2024</t>
  </si>
  <si>
    <t>ORD-037</t>
  </si>
  <si>
    <t>09/10/2024</t>
  </si>
  <si>
    <t>ORD-038</t>
  </si>
  <si>
    <t>ORD-039</t>
  </si>
  <si>
    <t>10/02/2024</t>
  </si>
  <si>
    <t>ORD-040</t>
  </si>
  <si>
    <t>04/06/2024</t>
  </si>
  <si>
    <t>ORD-041</t>
  </si>
  <si>
    <t>17/02/2024</t>
  </si>
  <si>
    <t>ORD-042</t>
  </si>
  <si>
    <t>06/11/2024</t>
  </si>
  <si>
    <t>ORD-043</t>
  </si>
  <si>
    <t>18/12/2024</t>
  </si>
  <si>
    <t>ORD-044</t>
  </si>
  <si>
    <t>05/04/2024</t>
  </si>
  <si>
    <t>ORD-045</t>
  </si>
  <si>
    <t>08/06/2024</t>
  </si>
  <si>
    <t>ORD-046</t>
  </si>
  <si>
    <t>10/09/2024</t>
  </si>
  <si>
    <t>ORD-047</t>
  </si>
  <si>
    <t>09/06/2024</t>
  </si>
  <si>
    <t>ORD-048</t>
  </si>
  <si>
    <t>ORD-049</t>
  </si>
  <si>
    <t>ORD-050</t>
  </si>
  <si>
    <t>23/08/2024</t>
  </si>
  <si>
    <t>ORD-051</t>
  </si>
  <si>
    <t>10/04/2024</t>
  </si>
  <si>
    <t>ORD-052</t>
  </si>
  <si>
    <t>02/02/2024</t>
  </si>
  <si>
    <t>ORD-053</t>
  </si>
  <si>
    <t>07/01/2024</t>
  </si>
  <si>
    <t>ORD-054</t>
  </si>
  <si>
    <t>08/09/2024</t>
  </si>
  <si>
    <t>ORD-055</t>
  </si>
  <si>
    <t>24/02/2024</t>
  </si>
  <si>
    <t>ORD-056</t>
  </si>
  <si>
    <t>16/05/2024</t>
  </si>
  <si>
    <t>ORD-057</t>
  </si>
  <si>
    <t>20/05/2024</t>
  </si>
  <si>
    <t>ORD-058</t>
  </si>
  <si>
    <t>30/04/2024</t>
  </si>
  <si>
    <t>ORD-059</t>
  </si>
  <si>
    <t>06/06/2024</t>
  </si>
  <si>
    <t>ORD-060</t>
  </si>
  <si>
    <t>ORD-061</t>
  </si>
  <si>
    <t>ORD-062</t>
  </si>
  <si>
    <t>19/02/2024</t>
  </si>
  <si>
    <t>ORD-063</t>
  </si>
  <si>
    <t>16/06/2024</t>
  </si>
  <si>
    <t>ORD-064</t>
  </si>
  <si>
    <t>09/04/2024</t>
  </si>
  <si>
    <t>ORD-065</t>
  </si>
  <si>
    <t>ORD-066</t>
  </si>
  <si>
    <t>05/06/2024</t>
  </si>
  <si>
    <t>ORD-067</t>
  </si>
  <si>
    <t>03/11/2024</t>
  </si>
  <si>
    <t>ORD-068</t>
  </si>
  <si>
    <t>01/03/2024</t>
  </si>
  <si>
    <t>ORD-069</t>
  </si>
  <si>
    <t>ORD-070</t>
  </si>
  <si>
    <t>26/03/2024</t>
  </si>
  <si>
    <t>ORD-071</t>
  </si>
  <si>
    <t>31/10/2024</t>
  </si>
  <si>
    <t>ORD-072</t>
  </si>
  <si>
    <t>ORD-073</t>
  </si>
  <si>
    <t>08/05/2024</t>
  </si>
  <si>
    <t>ORD-074</t>
  </si>
  <si>
    <t>27/07/2024</t>
  </si>
  <si>
    <t>ORD-075</t>
  </si>
  <si>
    <t>12/01/2024</t>
  </si>
  <si>
    <t>ORD-076</t>
  </si>
  <si>
    <t>28/02/2024</t>
  </si>
  <si>
    <t>ORD-077</t>
  </si>
  <si>
    <t>08/04/2024</t>
  </si>
  <si>
    <t>ORD-078</t>
  </si>
  <si>
    <t>04/01/2024</t>
  </si>
  <si>
    <t>ORD-079</t>
  </si>
  <si>
    <t>03/10/2024</t>
  </si>
  <si>
    <t>ORD-080</t>
  </si>
  <si>
    <t>31/08/2024</t>
  </si>
  <si>
    <t>ORD-081</t>
  </si>
  <si>
    <t>04/03/2024</t>
  </si>
  <si>
    <t>ORD-082</t>
  </si>
  <si>
    <t>15/01/2024</t>
  </si>
  <si>
    <t>ORD-083</t>
  </si>
  <si>
    <t>ORD-084</t>
  </si>
  <si>
    <t>ORD-085</t>
  </si>
  <si>
    <t>27/11/2024</t>
  </si>
  <si>
    <t>ORD-086</t>
  </si>
  <si>
    <t>16/11/2024</t>
  </si>
  <si>
    <t>ORD-087</t>
  </si>
  <si>
    <t>ORD-088</t>
  </si>
  <si>
    <t>ORD-089</t>
  </si>
  <si>
    <t>15/12/2024</t>
  </si>
  <si>
    <t>ORD-090</t>
  </si>
  <si>
    <t>28/05/2024</t>
  </si>
  <si>
    <t>ORD-091</t>
  </si>
  <si>
    <t>24/09/2024</t>
  </si>
  <si>
    <t>ORD-092</t>
  </si>
  <si>
    <t>18/11/2024</t>
  </si>
  <si>
    <t>ORD-093</t>
  </si>
  <si>
    <t>16/01/2024</t>
  </si>
  <si>
    <t>ORD-094</t>
  </si>
  <si>
    <t>ORD-095</t>
  </si>
  <si>
    <t>ORD-096</t>
  </si>
  <si>
    <t>23/12/2024</t>
  </si>
  <si>
    <t>ORD-097</t>
  </si>
  <si>
    <t>01/05/2024</t>
  </si>
  <si>
    <t>ORD-098</t>
  </si>
  <si>
    <t>23/07/2024</t>
  </si>
  <si>
    <t>ORD-099</t>
  </si>
  <si>
    <t>ORD-100</t>
  </si>
  <si>
    <t>Months</t>
  </si>
  <si>
    <t>Row Labels</t>
  </si>
  <si>
    <t>Grand Total</t>
  </si>
  <si>
    <t>Mar</t>
  </si>
  <si>
    <t>Jul</t>
  </si>
  <si>
    <t>Sum of Quantity</t>
  </si>
  <si>
    <t>Total orders</t>
  </si>
  <si>
    <t>Total Quantity</t>
  </si>
  <si>
    <t>Total customers</t>
  </si>
  <si>
    <r>
      <rPr>
        <sz val="12"/>
        <color theme="1"/>
        <rFont val="Calibri"/>
        <family val="2"/>
        <scheme val="minor"/>
      </rPr>
      <t xml:space="preserve">                                                                                            </t>
    </r>
    <r>
      <rPr>
        <sz val="20"/>
        <color theme="1"/>
        <rFont val="Times New Roman"/>
        <family val="1"/>
      </rPr>
      <t xml:space="preserve">   </t>
    </r>
    <r>
      <rPr>
        <sz val="20"/>
        <color theme="0"/>
        <rFont val="Times New Roman"/>
        <family val="1"/>
      </rPr>
      <t>E-COMMERCE DASHBOARD</t>
    </r>
  </si>
  <si>
    <r>
      <rPr>
        <sz val="12"/>
        <color theme="0"/>
        <rFont val="Times New Roman"/>
        <family val="1"/>
      </rPr>
      <t>• January has the highest number of orders, indicating strong demand early in the year.
• Nairobi is the top-performing city, suggesting it is the main market.
• M-Pesa is the most used payment method, showing strong preference for mobile payments.</t>
    </r>
    <r>
      <rPr>
        <sz val="11"/>
        <color theme="1"/>
        <rFont val="Calibri"/>
        <family val="2"/>
        <scheme val="minor"/>
      </rPr>
      <t xml:space="preserve">
</t>
    </r>
  </si>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</sst>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Ksh&quot;#,##0"/>
  </numFmts>
  <fonts count="7" x14ac:knownFonts="1">
    <font>
      <sz val="11"/>
      <color theme="1"/>
      <name val="Calibri"/>
      <family val="2"/>
      <scheme val="minor"/>
    </font>
    <font>
      <sz val="11"/>
      <name val="Calibri"/>
      <family val="2"/>
      <scheme val="minor"/>
    </font>
    <font>
      <sz val="12"/>
      <color theme="1"/>
      <name val="Calibri"/>
      <family val="2"/>
      <scheme val="minor"/>
    </font>
    <font>
      <sz val="20"/>
      <color theme="1"/>
      <name val="Times New Roman"/>
      <family val="1"/>
    </font>
    <font>
      <sz val="20"/>
      <color theme="0"/>
      <name val="Times New Roman"/>
      <family val="1"/>
    </font>
    <font>
      <sz val="12"/>
      <color theme="0"/>
      <name val="Times New Roman"/>
      <family val="1"/>
    </font>
    <font>
      <b/>
      <sz val="14"/>
      <color theme="0"/>
      <name val="Times New Roman"/>
      <family val="1"/>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0" fillId="0" borderId="0" xfId="0" applyNumberFormat="1"/>
    <xf numFmtId="2" fontId="0" fillId="0" borderId="0" xfId="0" applyNumberFormat="1"/>
    <xf numFmtId="0" fontId="0" fillId="0" borderId="0" xfId="0"/>
    <xf numFmtId="0" fontId="0" fillId="0" borderId="0" xfId="0" pivotButton="1"/>
    <xf numFmtId="0" fontId="0" fillId="0" borderId="0" xfId="0" applyAlignment="1">
      <alignment horizontal="left"/>
    </xf>
    <xf numFmtId="0" fontId="0" fillId="2" borderId="0" xfId="0" applyFill="1"/>
    <xf numFmtId="0" fontId="1" fillId="3" borderId="0" xfId="0" applyFont="1" applyFill="1"/>
    <xf numFmtId="0" fontId="0" fillId="2" borderId="0" xfId="0" applyFill="1"/>
    <xf numFmtId="0" fontId="0" fillId="2" borderId="0" xfId="0" applyFill="1" applyAlignment="1">
      <alignment horizontal="center"/>
    </xf>
    <xf numFmtId="0" fontId="0" fillId="2" borderId="0" xfId="0" applyFill="1" applyAlignment="1">
      <alignment horizontal="center"/>
    </xf>
    <xf numFmtId="0" fontId="0" fillId="2" borderId="0" xfId="0" applyFill="1" applyAlignment="1">
      <alignment horizontal="center" wrapText="1"/>
    </xf>
    <xf numFmtId="0" fontId="6"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CUST-014</c:v>
                </c:pt>
                <c:pt idx="1">
                  <c:v>CUST-024</c:v>
                </c:pt>
                <c:pt idx="2">
                  <c:v>CUST-037</c:v>
                </c:pt>
                <c:pt idx="3">
                  <c:v>CUST-041</c:v>
                </c:pt>
                <c:pt idx="4">
                  <c:v>CUST-048</c:v>
                </c:pt>
              </c:strCache>
            </c:strRef>
          </c:cat>
          <c:val>
            <c:numRef>
              <c:f>'pivot table'!$B$4:$B$9</c:f>
              <c:numCache>
                <c:formatCode>General</c:formatCode>
                <c:ptCount val="5"/>
                <c:pt idx="0">
                  <c:v>4</c:v>
                </c:pt>
                <c:pt idx="1">
                  <c:v>3</c:v>
                </c:pt>
                <c:pt idx="2">
                  <c:v>5</c:v>
                </c:pt>
                <c:pt idx="3">
                  <c:v>4</c:v>
                </c:pt>
                <c:pt idx="4">
                  <c:v>4</c:v>
                </c:pt>
              </c:numCache>
            </c:numRef>
          </c:val>
          <c:extLst>
            <c:ext xmlns:c16="http://schemas.microsoft.com/office/drawing/2014/chart" uri="{C3380CC4-5D6E-409C-BE32-E72D297353CC}">
              <c16:uniqueId val="{00000000-E6C3-475C-A512-2AB940E47B29}"/>
            </c:ext>
          </c:extLst>
        </c:ser>
        <c:dLbls>
          <c:showLegendKey val="0"/>
          <c:showVal val="0"/>
          <c:showCatName val="0"/>
          <c:showSerName val="0"/>
          <c:showPercent val="0"/>
          <c:showBubbleSize val="0"/>
        </c:dLbls>
        <c:gapWidth val="219"/>
        <c:overlap val="-27"/>
        <c:axId val="1480636095"/>
        <c:axId val="1480629855"/>
      </c:barChart>
      <c:catAx>
        <c:axId val="1480636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ID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29855"/>
        <c:crosses val="autoZero"/>
        <c:auto val="1"/>
        <c:lblAlgn val="ctr"/>
        <c:lblOffset val="100"/>
        <c:noMultiLvlLbl val="0"/>
      </c:catAx>
      <c:valAx>
        <c:axId val="1480629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360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table!PivotTable5</c:name>
    <c:fmtId val="0"/>
  </c:pivotSource>
  <c:chart>
    <c:title>
      <c:layout>
        <c:manualLayout>
          <c:xMode val="edge"/>
          <c:yMode val="edge"/>
          <c:x val="0.4536111111111111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pivotFmt>
    </c:pivotFmts>
    <c:plotArea>
      <c:layout/>
      <c:pieChart>
        <c:varyColors val="1"/>
        <c:ser>
          <c:idx val="0"/>
          <c:order val="0"/>
          <c:tx>
            <c:strRef>
              <c:f>'pivot table'!$E$32</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delete val="1"/>
          </c:dLbls>
          <c:cat>
            <c:strRef>
              <c:f>'pivot table'!$D$33:$D$36</c:f>
              <c:strCache>
                <c:ptCount val="3"/>
                <c:pt idx="0">
                  <c:v>Airtel Money</c:v>
                </c:pt>
                <c:pt idx="1">
                  <c:v>Card</c:v>
                </c:pt>
                <c:pt idx="2">
                  <c:v>M-Pesa</c:v>
                </c:pt>
              </c:strCache>
            </c:strRef>
          </c:cat>
          <c:val>
            <c:numRef>
              <c:f>'pivot table'!$E$33:$E$36</c:f>
              <c:numCache>
                <c:formatCode>General</c:formatCode>
                <c:ptCount val="3"/>
                <c:pt idx="0">
                  <c:v>3</c:v>
                </c:pt>
                <c:pt idx="1">
                  <c:v>9</c:v>
                </c:pt>
                <c:pt idx="2">
                  <c:v>8</c:v>
                </c:pt>
              </c:numCache>
            </c:numRef>
          </c:val>
          <c:extLst>
            <c:ext xmlns:c16="http://schemas.microsoft.com/office/drawing/2014/chart" uri="{C3380CC4-5D6E-409C-BE32-E72D297353CC}">
              <c16:uniqueId val="{00000000-FC93-473F-89A7-327C046791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table'!$H$34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table'!$G$35:$G$37</c:f>
              <c:strCache>
                <c:ptCount val="2"/>
                <c:pt idx="0">
                  <c:v>Mar</c:v>
                </c:pt>
                <c:pt idx="1">
                  <c:v>Jul</c:v>
                </c:pt>
              </c:strCache>
            </c:strRef>
          </c:cat>
          <c:val>
            <c:numRef>
              <c:f>'pivot table'!$H$35:$H$37</c:f>
              <c:numCache>
                <c:formatCode>General</c:formatCode>
                <c:ptCount val="2"/>
                <c:pt idx="0">
                  <c:v>3</c:v>
                </c:pt>
                <c:pt idx="1">
                  <c:v>17</c:v>
                </c:pt>
              </c:numCache>
            </c:numRef>
          </c:val>
          <c:smooth val="0"/>
          <c:extLst>
            <c:ext xmlns:c16="http://schemas.microsoft.com/office/drawing/2014/chart" uri="{C3380CC4-5D6E-409C-BE32-E72D297353CC}">
              <c16:uniqueId val="{00000000-3451-4801-906D-22B03A745AC5}"/>
            </c:ext>
          </c:extLst>
        </c:ser>
        <c:dLbls>
          <c:showLegendKey val="0"/>
          <c:showVal val="0"/>
          <c:showCatName val="0"/>
          <c:showSerName val="0"/>
          <c:showPercent val="0"/>
          <c:showBubbleSize val="0"/>
        </c:dLbls>
        <c:marker val="1"/>
        <c:smooth val="0"/>
        <c:axId val="1890879583"/>
        <c:axId val="1890879999"/>
      </c:lineChart>
      <c:catAx>
        <c:axId val="1890879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79999"/>
        <c:crosses val="autoZero"/>
        <c:auto val="1"/>
        <c:lblAlgn val="ctr"/>
        <c:lblOffset val="100"/>
        <c:noMultiLvlLbl val="0"/>
      </c:catAx>
      <c:valAx>
        <c:axId val="1890879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795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table'!$I$56</c:f>
              <c:strCache>
                <c:ptCount val="1"/>
                <c:pt idx="0">
                  <c:v>Total</c:v>
                </c:pt>
              </c:strCache>
            </c:strRef>
          </c:tx>
          <c:spPr>
            <a:solidFill>
              <a:schemeClr val="accent1"/>
            </a:solidFill>
            <a:ln>
              <a:noFill/>
            </a:ln>
            <a:effectLst/>
          </c:spPr>
          <c:invertIfNegative val="0"/>
          <c:cat>
            <c:strRef>
              <c:f>'pivot table'!$H$57:$H$58</c:f>
              <c:strCache>
                <c:ptCount val="1"/>
                <c:pt idx="0">
                  <c:v>Kisumu</c:v>
                </c:pt>
              </c:strCache>
            </c:strRef>
          </c:cat>
          <c:val>
            <c:numRef>
              <c:f>'pivot table'!$I$57:$I$58</c:f>
              <c:numCache>
                <c:formatCode>General</c:formatCode>
                <c:ptCount val="1"/>
                <c:pt idx="0">
                  <c:v>20</c:v>
                </c:pt>
              </c:numCache>
            </c:numRef>
          </c:val>
          <c:extLst>
            <c:ext xmlns:c16="http://schemas.microsoft.com/office/drawing/2014/chart" uri="{C3380CC4-5D6E-409C-BE32-E72D297353CC}">
              <c16:uniqueId val="{00000000-1D4A-4634-B55D-E26E848B5C5F}"/>
            </c:ext>
          </c:extLst>
        </c:ser>
        <c:dLbls>
          <c:showLegendKey val="0"/>
          <c:showVal val="0"/>
          <c:showCatName val="0"/>
          <c:showSerName val="0"/>
          <c:showPercent val="0"/>
          <c:showBubbleSize val="0"/>
        </c:dLbls>
        <c:gapWidth val="219"/>
        <c:overlap val="-27"/>
        <c:axId val="1697008928"/>
        <c:axId val="1697009344"/>
      </c:barChart>
      <c:catAx>
        <c:axId val="1697008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09344"/>
        <c:crosses val="autoZero"/>
        <c:auto val="1"/>
        <c:lblAlgn val="ctr"/>
        <c:lblOffset val="100"/>
        <c:noMultiLvlLbl val="0"/>
      </c:catAx>
      <c:valAx>
        <c:axId val="1697009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08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table!PivotTable4</c:name>
    <c:fmtId val="3"/>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s>
    <c:plotArea>
      <c:layout/>
      <c:barChart>
        <c:barDir val="col"/>
        <c:grouping val="clustered"/>
        <c:varyColors val="0"/>
        <c:ser>
          <c:idx val="0"/>
          <c:order val="0"/>
          <c:tx>
            <c:strRef>
              <c:f>'pivot table'!$B$3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table'!$A$4:$A$9</c:f>
              <c:strCache>
                <c:ptCount val="5"/>
                <c:pt idx="0">
                  <c:v>CUST-014</c:v>
                </c:pt>
                <c:pt idx="1">
                  <c:v>CUST-024</c:v>
                </c:pt>
                <c:pt idx="2">
                  <c:v>CUST-037</c:v>
                </c:pt>
                <c:pt idx="3">
                  <c:v>CUST-041</c:v>
                </c:pt>
                <c:pt idx="4">
                  <c:v>CUST-048</c:v>
                </c:pt>
              </c:strCache>
            </c:strRef>
          </c:cat>
          <c:val>
            <c:numRef>
              <c:f>'pivot table'!$B$4:$B$9</c:f>
              <c:numCache>
                <c:formatCode>General</c:formatCode>
                <c:ptCount val="5"/>
                <c:pt idx="0">
                  <c:v>4</c:v>
                </c:pt>
                <c:pt idx="1">
                  <c:v>3</c:v>
                </c:pt>
                <c:pt idx="2">
                  <c:v>5</c:v>
                </c:pt>
                <c:pt idx="3">
                  <c:v>4</c:v>
                </c:pt>
                <c:pt idx="4">
                  <c:v>4</c:v>
                </c:pt>
              </c:numCache>
            </c:numRef>
          </c:val>
          <c:extLst>
            <c:ext xmlns:c16="http://schemas.microsoft.com/office/drawing/2014/chart" uri="{C3380CC4-5D6E-409C-BE32-E72D297353CC}">
              <c16:uniqueId val="{00000000-DBAD-478D-A7E9-B939665DA5EA}"/>
            </c:ext>
          </c:extLst>
        </c:ser>
        <c:dLbls>
          <c:showLegendKey val="0"/>
          <c:showVal val="0"/>
          <c:showCatName val="0"/>
          <c:showSerName val="0"/>
          <c:showPercent val="0"/>
          <c:showBubbleSize val="0"/>
        </c:dLbls>
        <c:gapWidth val="164"/>
        <c:overlap val="-22"/>
        <c:axId val="1480636095"/>
        <c:axId val="1480629855"/>
      </c:barChart>
      <c:catAx>
        <c:axId val="14806360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Customer ID</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29855"/>
        <c:crosses val="autoZero"/>
        <c:auto val="1"/>
        <c:lblAlgn val="ctr"/>
        <c:lblOffset val="100"/>
        <c:noMultiLvlLbl val="0"/>
      </c:catAx>
      <c:valAx>
        <c:axId val="14806298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360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table!PivotTable5</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 by Payment method</a:t>
            </a:r>
          </a:p>
        </c:rich>
      </c:tx>
      <c:layout>
        <c:manualLayout>
          <c:xMode val="edge"/>
          <c:yMode val="edge"/>
          <c:x val="0.45361111111111119"/>
          <c:y val="0.12397929425488481"/>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layout/>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pivotFmt>
      <c:pivotFmt>
        <c:idx val="8"/>
      </c:pivotFmt>
      <c:pivotFmt>
        <c:idx val="9"/>
      </c:pivotFmt>
      <c:pivotFmt>
        <c:idx val="10"/>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pivotFmt>
    </c:pivotFmts>
    <c:plotArea>
      <c:layout/>
      <c:pieChart>
        <c:varyColors val="1"/>
        <c:ser>
          <c:idx val="0"/>
          <c:order val="0"/>
          <c:tx>
            <c:strRef>
              <c:f>'pivot table'!$E$32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26D-47B8-84B6-9E5902F777E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26D-47B8-84B6-9E5902F777E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26D-47B8-84B6-9E5902F777E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26D-47B8-84B6-9E5902F777E9}"/>
              </c:ext>
            </c:extLst>
          </c:dPt>
          <c:dLbls>
            <c:delete val="1"/>
          </c:dLbls>
          <c:cat>
            <c:strRef>
              <c:f>'pivot table'!$D$33:$D$36</c:f>
              <c:strCache>
                <c:ptCount val="3"/>
                <c:pt idx="0">
                  <c:v>Airtel Money</c:v>
                </c:pt>
                <c:pt idx="1">
                  <c:v>Card</c:v>
                </c:pt>
                <c:pt idx="2">
                  <c:v>M-Pesa</c:v>
                </c:pt>
              </c:strCache>
            </c:strRef>
          </c:cat>
          <c:val>
            <c:numRef>
              <c:f>'pivot table'!$E$33:$E$36</c:f>
              <c:numCache>
                <c:formatCode>General</c:formatCode>
                <c:ptCount val="3"/>
                <c:pt idx="0">
                  <c:v>3</c:v>
                </c:pt>
                <c:pt idx="1">
                  <c:v>9</c:v>
                </c:pt>
                <c:pt idx="2">
                  <c:v>8</c:v>
                </c:pt>
              </c:numCache>
            </c:numRef>
          </c:val>
          <c:extLst>
            <c:ext xmlns:c16="http://schemas.microsoft.com/office/drawing/2014/chart" uri="{C3380CC4-5D6E-409C-BE32-E72D297353CC}">
              <c16:uniqueId val="{00000008-D26D-47B8-84B6-9E5902F777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table!PivotTable6</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Order by month</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s>
    <c:plotArea>
      <c:layout/>
      <c:lineChart>
        <c:grouping val="standard"/>
        <c:varyColors val="0"/>
        <c:ser>
          <c:idx val="0"/>
          <c:order val="0"/>
          <c:tx>
            <c:strRef>
              <c:f>'pivot table'!$H$34</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table'!$G$35:$G$37</c:f>
              <c:strCache>
                <c:ptCount val="2"/>
                <c:pt idx="0">
                  <c:v>Mar</c:v>
                </c:pt>
                <c:pt idx="1">
                  <c:v>Jul</c:v>
                </c:pt>
              </c:strCache>
            </c:strRef>
          </c:cat>
          <c:val>
            <c:numRef>
              <c:f>'pivot table'!$H$35:$H$37</c:f>
              <c:numCache>
                <c:formatCode>General</c:formatCode>
                <c:ptCount val="2"/>
                <c:pt idx="0">
                  <c:v>3</c:v>
                </c:pt>
                <c:pt idx="1">
                  <c:v>17</c:v>
                </c:pt>
              </c:numCache>
            </c:numRef>
          </c:val>
          <c:smooth val="0"/>
          <c:extLst>
            <c:ext xmlns:c16="http://schemas.microsoft.com/office/drawing/2014/chart" uri="{C3380CC4-5D6E-409C-BE32-E72D297353CC}">
              <c16:uniqueId val="{00000000-FB4D-4DC8-A3E9-E83A25BA157C}"/>
            </c:ext>
          </c:extLst>
        </c:ser>
        <c:dLbls>
          <c:showLegendKey val="0"/>
          <c:showVal val="0"/>
          <c:showCatName val="0"/>
          <c:showSerName val="0"/>
          <c:showPercent val="0"/>
          <c:showBubbleSize val="0"/>
        </c:dLbls>
        <c:marker val="1"/>
        <c:smooth val="0"/>
        <c:axId val="1890879583"/>
        <c:axId val="1890879999"/>
      </c:lineChart>
      <c:catAx>
        <c:axId val="189087958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Months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90879999"/>
        <c:crosses val="autoZero"/>
        <c:auto val="1"/>
        <c:lblAlgn val="ctr"/>
        <c:lblOffset val="100"/>
        <c:noMultiLvlLbl val="0"/>
      </c:catAx>
      <c:valAx>
        <c:axId val="1890879999"/>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90879583"/>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(1) (Autosaved).xlsx]pivot table!PivotTable2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 by city</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pivotFmt>
    </c:pivotFmts>
    <c:plotArea>
      <c:layout/>
      <c:barChart>
        <c:barDir val="col"/>
        <c:grouping val="clustered"/>
        <c:varyColors val="0"/>
        <c:ser>
          <c:idx val="0"/>
          <c:order val="0"/>
          <c:tx>
            <c:strRef>
              <c:f>'pivot table'!$I$56</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table'!$H$57:$H$58</c:f>
              <c:strCache>
                <c:ptCount val="1"/>
                <c:pt idx="0">
                  <c:v>Kisumu</c:v>
                </c:pt>
              </c:strCache>
            </c:strRef>
          </c:cat>
          <c:val>
            <c:numRef>
              <c:f>'pivot table'!$I$57:$I$58</c:f>
              <c:numCache>
                <c:formatCode>General</c:formatCode>
                <c:ptCount val="1"/>
                <c:pt idx="0">
                  <c:v>20</c:v>
                </c:pt>
              </c:numCache>
            </c:numRef>
          </c:val>
          <c:extLst>
            <c:ext xmlns:c16="http://schemas.microsoft.com/office/drawing/2014/chart" uri="{C3380CC4-5D6E-409C-BE32-E72D297353CC}">
              <c16:uniqueId val="{00000000-5BF7-4AE8-913C-B5609D1A106B}"/>
            </c:ext>
          </c:extLst>
        </c:ser>
        <c:dLbls>
          <c:showLegendKey val="0"/>
          <c:showVal val="0"/>
          <c:showCatName val="0"/>
          <c:showSerName val="0"/>
          <c:showPercent val="0"/>
          <c:showBubbleSize val="0"/>
        </c:dLbls>
        <c:gapWidth val="164"/>
        <c:overlap val="-22"/>
        <c:axId val="1697008928"/>
        <c:axId val="1697009344"/>
      </c:barChart>
      <c:catAx>
        <c:axId val="16970089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city</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09344"/>
        <c:crosses val="autoZero"/>
        <c:auto val="1"/>
        <c:lblAlgn val="ctr"/>
        <c:lblOffset val="100"/>
        <c:noMultiLvlLbl val="0"/>
      </c:catAx>
      <c:valAx>
        <c:axId val="169700934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08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136525</xdr:colOff>
      <xdr:row>0</xdr:row>
      <xdr:rowOff>57150</xdr:rowOff>
    </xdr:from>
    <xdr:to>
      <xdr:col>9</xdr:col>
      <xdr:colOff>441325</xdr:colOff>
      <xdr:row>15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16</xdr:row>
      <xdr:rowOff>0</xdr:rowOff>
    </xdr:from>
    <xdr:to>
      <xdr:col>6</xdr:col>
      <xdr:colOff>301625</xdr:colOff>
      <xdr:row>30</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63500</xdr:colOff>
      <xdr:row>31</xdr:row>
      <xdr:rowOff>19050</xdr:rowOff>
    </xdr:from>
    <xdr:to>
      <xdr:col>16</xdr:col>
      <xdr:colOff>12700</xdr:colOff>
      <xdr:row>46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581025</xdr:colOff>
      <xdr:row>16</xdr:row>
      <xdr:rowOff>6350</xdr:rowOff>
    </xdr:from>
    <xdr:to>
      <xdr:col>12</xdr:col>
      <xdr:colOff>581025</xdr:colOff>
      <xdr:row>30</xdr:row>
      <xdr:rowOff>171450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298450</xdr:colOff>
      <xdr:row>6</xdr:row>
      <xdr:rowOff>12700</xdr:rowOff>
    </xdr:from>
    <xdr:to>
      <xdr:col>18</xdr:col>
      <xdr:colOff>374650</xdr:colOff>
      <xdr:row>17</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18</xdr:row>
      <xdr:rowOff>19050</xdr:rowOff>
    </xdr:from>
    <xdr:to>
      <xdr:col>10</xdr:col>
      <xdr:colOff>292100</xdr:colOff>
      <xdr:row>29</xdr:row>
      <xdr:rowOff>165100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31750</xdr:colOff>
      <xdr:row>6</xdr:row>
      <xdr:rowOff>12700</xdr:rowOff>
    </xdr:from>
    <xdr:to>
      <xdr:col>11</xdr:col>
      <xdr:colOff>279400</xdr:colOff>
      <xdr:row>18</xdr:row>
      <xdr:rowOff>12700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273050</xdr:colOff>
      <xdr:row>18</xdr:row>
      <xdr:rowOff>0</xdr:rowOff>
    </xdr:from>
    <xdr:to>
      <xdr:col>18</xdr:col>
      <xdr:colOff>374650</xdr:colOff>
      <xdr:row>29</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25400</xdr:colOff>
      <xdr:row>6</xdr:row>
      <xdr:rowOff>6350</xdr:rowOff>
    </xdr:from>
    <xdr:to>
      <xdr:col>4</xdr:col>
      <xdr:colOff>25400</xdr:colOff>
      <xdr:row>18</xdr:row>
      <xdr:rowOff>79375</xdr:rowOff>
    </xdr:to>
    <mc:AlternateContent xmlns:mc="http://schemas.openxmlformats.org/markup-compatibility/2006">
      <mc:Choice xmlns:a14="http://schemas.microsoft.com/office/drawing/2010/main" Requires="a14">
        <xdr:graphicFrame macro="">
          <xdr:nvGraphicFramePr>
            <xdr:cNvPr id="6"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635000" y="1111250"/>
              <a:ext cx="1828800" cy="2282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279400</xdr:colOff>
      <xdr:row>17</xdr:row>
      <xdr:rowOff>171451</xdr:rowOff>
    </xdr:from>
    <xdr:to>
      <xdr:col>13</xdr:col>
      <xdr:colOff>279400</xdr:colOff>
      <xdr:row>29</xdr:row>
      <xdr:rowOff>177801</xdr:rowOff>
    </xdr:to>
    <mc:AlternateContent xmlns:mc="http://schemas.openxmlformats.org/markup-compatibility/2006">
      <mc:Choice xmlns:a14="http://schemas.microsoft.com/office/drawing/2010/main" Requires="a14">
        <xdr:graphicFrame macro="">
          <xdr:nvGraphicFramePr>
            <xdr:cNvPr id="7"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375400" y="3302001"/>
              <a:ext cx="1828800" cy="221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31750</xdr:colOff>
      <xdr:row>18</xdr:row>
      <xdr:rowOff>69850</xdr:rowOff>
    </xdr:from>
    <xdr:to>
      <xdr:col>4</xdr:col>
      <xdr:colOff>31750</xdr:colOff>
      <xdr:row>29</xdr:row>
      <xdr:rowOff>171449</xdr:rowOff>
    </xdr:to>
    <mc:AlternateContent xmlns:mc="http://schemas.openxmlformats.org/markup-compatibility/2006">
      <mc:Choice xmlns:a14="http://schemas.microsoft.com/office/drawing/2010/main"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41350" y="3384550"/>
              <a:ext cx="1828800" cy="2127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21.912398726854" createdVersion="6" refreshedVersion="6" minRefreshableVersion="3" recordCount="100">
  <cacheSource type="worksheet">
    <worksheetSource ref="A1:H101" sheet="orders"/>
  </cacheSource>
  <cacheFields count="8">
    <cacheField name="Order_ID" numFmtId="0">
      <sharedItems count="10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haredItems>
    </cacheField>
    <cacheField name="Customer_ID" numFmtId="0">
      <sharedItems count="43">
        <s v="CUST-041"/>
        <s v="CUST-006"/>
        <s v="CUST-032"/>
        <s v="CUST-034"/>
        <s v="CUST-004"/>
        <s v="CUST-046"/>
        <s v="CUST-042"/>
        <s v="CUST-049"/>
        <s v="CUST-048"/>
        <s v="CUST-039"/>
        <s v="CUST-035"/>
        <s v="CUST-033"/>
        <s v="CUST-023"/>
        <s v="CUST-020"/>
        <s v="CUST-021"/>
        <s v="CUST-002"/>
        <s v="CUST-001"/>
        <s v="CUST-037"/>
        <s v="CUST-017"/>
        <s v="CUST-003"/>
        <s v="CUST-015"/>
        <s v="CUST-009"/>
        <s v="CUST-027"/>
        <s v="CUST-024"/>
        <s v="CUST-031"/>
        <s v="CUST-043"/>
        <s v="CUST-014"/>
        <s v="CUST-040"/>
        <s v="CUST-019"/>
        <s v="CUST-036"/>
        <s v="CUST-029"/>
        <s v="CUST-022"/>
        <s v="CUST-030"/>
        <s v="CUST-044"/>
        <s v="CUST-016"/>
        <s v="CUST-011"/>
        <s v="CUST-028"/>
        <s v="CUST-047"/>
        <s v="CUST-008"/>
        <s v="CUST-026"/>
        <s v="CUST-007"/>
        <s v="CUST-050"/>
        <s v="CUST-005"/>
      </sharedItems>
    </cacheField>
    <cacheField name="Product_ID" numFmtId="0">
      <sharedItems count="27">
        <s v="PRD-024"/>
        <s v="PRD-021"/>
        <s v="PRD-003"/>
        <s v="PRD-006"/>
        <s v="PRD-012"/>
        <s v="PRD-026"/>
        <s v="PRD-027"/>
        <s v="PRD-018"/>
        <s v="PRD-002"/>
        <s v="PRD-004"/>
        <s v="PRD-020"/>
        <s v="PRD-013"/>
        <s v="PRD-005"/>
        <s v="PRD-030"/>
        <s v="PRD-010"/>
        <s v="PRD-014"/>
        <s v="PRD-028"/>
        <s v="PRD-029"/>
        <s v="PRD-011"/>
        <s v="PRD-007"/>
        <s v="PRD-017"/>
        <s v="PRD-008"/>
        <s v="PRD-009"/>
        <s v="PRD-023"/>
        <s v="PRD-025"/>
        <s v="PRD-001"/>
        <s v="PRD-015"/>
      </sharedItems>
    </cacheField>
    <cacheField name="Order_Date" numFmtId="14">
      <sharedItems/>
    </cacheField>
    <cacheField name="Months" numFmtId="14">
      <sharedItems count="12">
        <s v="Jun"/>
        <s v="Oct"/>
        <s v="Sept"/>
        <s v="Jan"/>
        <s v="Mar"/>
        <s v="Jul"/>
        <s v="Aug"/>
        <s v="Apr"/>
        <s v="Nov"/>
        <s v="May"/>
        <s v="Feb"/>
        <s v="Dec"/>
      </sharedItems>
    </cacheField>
    <cacheField name="Quantity" numFmtId="0">
      <sharedItems containsSemiMixedTypes="0" containsString="0" containsNumber="1" containsInteger="1" minValue="1" maxValue="5"/>
    </cacheField>
    <cacheField name="Payment_Method" numFmtId="0">
      <sharedItems count="4">
        <s v="Cash"/>
        <s v="Airtel Money"/>
        <s v="M-Pesa"/>
        <s v="Card"/>
      </sharedItems>
    </cacheField>
    <cacheField name="City" numFmtId="0">
      <sharedItems count="5">
        <s v="Kisumu"/>
        <s v="Nairobi"/>
        <s v="Eldoret"/>
        <s v="Mombasa"/>
        <s v="Nakuru"/>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s v="29/06/2024"/>
    <x v="0"/>
    <n v="3"/>
    <x v="0"/>
    <x v="0"/>
  </r>
  <r>
    <x v="1"/>
    <x v="1"/>
    <x v="1"/>
    <s v="29/10/2024"/>
    <x v="1"/>
    <n v="4"/>
    <x v="1"/>
    <x v="1"/>
  </r>
  <r>
    <x v="2"/>
    <x v="0"/>
    <x v="1"/>
    <s v="26/06/2024"/>
    <x v="0"/>
    <n v="2"/>
    <x v="2"/>
    <x v="0"/>
  </r>
  <r>
    <x v="3"/>
    <x v="2"/>
    <x v="2"/>
    <s v="20/06/2024"/>
    <x v="0"/>
    <n v="2"/>
    <x v="1"/>
    <x v="0"/>
  </r>
  <r>
    <x v="4"/>
    <x v="3"/>
    <x v="3"/>
    <s v="04/09/2024"/>
    <x v="2"/>
    <n v="3"/>
    <x v="2"/>
    <x v="2"/>
  </r>
  <r>
    <x v="5"/>
    <x v="4"/>
    <x v="4"/>
    <s v="13/01/2024"/>
    <x v="3"/>
    <n v="5"/>
    <x v="2"/>
    <x v="2"/>
  </r>
  <r>
    <x v="6"/>
    <x v="5"/>
    <x v="5"/>
    <s v="24/03/2024"/>
    <x v="4"/>
    <n v="4"/>
    <x v="0"/>
    <x v="1"/>
  </r>
  <r>
    <x v="7"/>
    <x v="6"/>
    <x v="6"/>
    <s v="08/03/2024"/>
    <x v="4"/>
    <n v="4"/>
    <x v="2"/>
    <x v="3"/>
  </r>
  <r>
    <x v="8"/>
    <x v="7"/>
    <x v="7"/>
    <s v="26/07/2024"/>
    <x v="5"/>
    <n v="2"/>
    <x v="3"/>
    <x v="4"/>
  </r>
  <r>
    <x v="9"/>
    <x v="8"/>
    <x v="8"/>
    <s v="02/01/2024"/>
    <x v="3"/>
    <n v="5"/>
    <x v="2"/>
    <x v="0"/>
  </r>
  <r>
    <x v="10"/>
    <x v="6"/>
    <x v="9"/>
    <s v="19/03/2024"/>
    <x v="4"/>
    <n v="3"/>
    <x v="3"/>
    <x v="3"/>
  </r>
  <r>
    <x v="11"/>
    <x v="9"/>
    <x v="0"/>
    <s v="26/08/2024"/>
    <x v="6"/>
    <n v="5"/>
    <x v="2"/>
    <x v="0"/>
  </r>
  <r>
    <x v="12"/>
    <x v="10"/>
    <x v="10"/>
    <s v="18/04/2024"/>
    <x v="7"/>
    <n v="3"/>
    <x v="1"/>
    <x v="3"/>
  </r>
  <r>
    <x v="13"/>
    <x v="11"/>
    <x v="11"/>
    <s v="10/08/2024"/>
    <x v="6"/>
    <n v="4"/>
    <x v="1"/>
    <x v="1"/>
  </r>
  <r>
    <x v="14"/>
    <x v="12"/>
    <x v="12"/>
    <s v="23/11/2024"/>
    <x v="8"/>
    <n v="5"/>
    <x v="2"/>
    <x v="3"/>
  </r>
  <r>
    <x v="15"/>
    <x v="13"/>
    <x v="0"/>
    <s v="24/10/2024"/>
    <x v="1"/>
    <n v="1"/>
    <x v="1"/>
    <x v="3"/>
  </r>
  <r>
    <x v="16"/>
    <x v="14"/>
    <x v="13"/>
    <s v="17/05/2024"/>
    <x v="9"/>
    <n v="5"/>
    <x v="0"/>
    <x v="0"/>
  </r>
  <r>
    <x v="17"/>
    <x v="15"/>
    <x v="14"/>
    <s v="23/04/2024"/>
    <x v="7"/>
    <n v="4"/>
    <x v="1"/>
    <x v="4"/>
  </r>
  <r>
    <x v="18"/>
    <x v="10"/>
    <x v="15"/>
    <s v="06/03/2024"/>
    <x v="4"/>
    <n v="5"/>
    <x v="3"/>
    <x v="3"/>
  </r>
  <r>
    <x v="19"/>
    <x v="16"/>
    <x v="5"/>
    <s v="15/04/2024"/>
    <x v="7"/>
    <n v="5"/>
    <x v="0"/>
    <x v="2"/>
  </r>
  <r>
    <x v="20"/>
    <x v="17"/>
    <x v="13"/>
    <s v="15/05/2024"/>
    <x v="9"/>
    <n v="5"/>
    <x v="3"/>
    <x v="0"/>
  </r>
  <r>
    <x v="21"/>
    <x v="18"/>
    <x v="16"/>
    <s v="18/05/2024"/>
    <x v="9"/>
    <n v="5"/>
    <x v="0"/>
    <x v="2"/>
  </r>
  <r>
    <x v="22"/>
    <x v="19"/>
    <x v="16"/>
    <s v="03/04/2024"/>
    <x v="7"/>
    <n v="2"/>
    <x v="3"/>
    <x v="1"/>
  </r>
  <r>
    <x v="23"/>
    <x v="18"/>
    <x v="15"/>
    <s v="02/06/2024"/>
    <x v="0"/>
    <n v="1"/>
    <x v="1"/>
    <x v="2"/>
  </r>
  <r>
    <x v="24"/>
    <x v="20"/>
    <x v="16"/>
    <s v="22/01/2024"/>
    <x v="3"/>
    <n v="1"/>
    <x v="2"/>
    <x v="3"/>
  </r>
  <r>
    <x v="25"/>
    <x v="21"/>
    <x v="17"/>
    <s v="27/01/2024"/>
    <x v="3"/>
    <n v="4"/>
    <x v="3"/>
    <x v="1"/>
  </r>
  <r>
    <x v="26"/>
    <x v="22"/>
    <x v="18"/>
    <s v="16/08/2024"/>
    <x v="6"/>
    <n v="4"/>
    <x v="1"/>
    <x v="3"/>
  </r>
  <r>
    <x v="27"/>
    <x v="18"/>
    <x v="15"/>
    <s v="09/07/2024"/>
    <x v="5"/>
    <n v="1"/>
    <x v="1"/>
    <x v="2"/>
  </r>
  <r>
    <x v="28"/>
    <x v="7"/>
    <x v="6"/>
    <s v="12/05/2024"/>
    <x v="9"/>
    <n v="5"/>
    <x v="3"/>
    <x v="4"/>
  </r>
  <r>
    <x v="29"/>
    <x v="23"/>
    <x v="12"/>
    <s v="17/03/2024"/>
    <x v="4"/>
    <n v="3"/>
    <x v="1"/>
    <x v="0"/>
  </r>
  <r>
    <x v="30"/>
    <x v="24"/>
    <x v="19"/>
    <s v="31/05/2024"/>
    <x v="9"/>
    <n v="5"/>
    <x v="2"/>
    <x v="3"/>
  </r>
  <r>
    <x v="31"/>
    <x v="15"/>
    <x v="20"/>
    <s v="31/01/2024"/>
    <x v="3"/>
    <n v="2"/>
    <x v="2"/>
    <x v="4"/>
  </r>
  <r>
    <x v="32"/>
    <x v="10"/>
    <x v="5"/>
    <s v="29/08/2024"/>
    <x v="6"/>
    <n v="4"/>
    <x v="2"/>
    <x v="3"/>
  </r>
  <r>
    <x v="33"/>
    <x v="8"/>
    <x v="7"/>
    <s v="18/07/2024"/>
    <x v="5"/>
    <n v="4"/>
    <x v="2"/>
    <x v="0"/>
  </r>
  <r>
    <x v="34"/>
    <x v="15"/>
    <x v="21"/>
    <s v="03/08/2024"/>
    <x v="6"/>
    <n v="5"/>
    <x v="3"/>
    <x v="4"/>
  </r>
  <r>
    <x v="35"/>
    <x v="25"/>
    <x v="14"/>
    <s v="15/11/2024"/>
    <x v="8"/>
    <n v="1"/>
    <x v="3"/>
    <x v="1"/>
  </r>
  <r>
    <x v="36"/>
    <x v="15"/>
    <x v="9"/>
    <s v="09/10/2024"/>
    <x v="1"/>
    <n v="5"/>
    <x v="3"/>
    <x v="4"/>
  </r>
  <r>
    <x v="37"/>
    <x v="26"/>
    <x v="19"/>
    <s v="26/07/2024"/>
    <x v="5"/>
    <n v="4"/>
    <x v="3"/>
    <x v="0"/>
  </r>
  <r>
    <x v="38"/>
    <x v="27"/>
    <x v="11"/>
    <s v="10/02/2024"/>
    <x v="10"/>
    <n v="3"/>
    <x v="0"/>
    <x v="1"/>
  </r>
  <r>
    <x v="39"/>
    <x v="10"/>
    <x v="15"/>
    <s v="04/06/2024"/>
    <x v="0"/>
    <n v="4"/>
    <x v="0"/>
    <x v="3"/>
  </r>
  <r>
    <x v="40"/>
    <x v="28"/>
    <x v="22"/>
    <s v="17/02/2024"/>
    <x v="10"/>
    <n v="1"/>
    <x v="2"/>
    <x v="1"/>
  </r>
  <r>
    <x v="41"/>
    <x v="11"/>
    <x v="9"/>
    <s v="06/11/2024"/>
    <x v="8"/>
    <n v="1"/>
    <x v="0"/>
    <x v="1"/>
  </r>
  <r>
    <x v="42"/>
    <x v="12"/>
    <x v="23"/>
    <s v="18/12/2024"/>
    <x v="11"/>
    <n v="2"/>
    <x v="3"/>
    <x v="3"/>
  </r>
  <r>
    <x v="43"/>
    <x v="29"/>
    <x v="2"/>
    <s v="05/04/2024"/>
    <x v="7"/>
    <n v="1"/>
    <x v="1"/>
    <x v="2"/>
  </r>
  <r>
    <x v="44"/>
    <x v="25"/>
    <x v="13"/>
    <s v="08/06/2024"/>
    <x v="0"/>
    <n v="3"/>
    <x v="2"/>
    <x v="1"/>
  </r>
  <r>
    <x v="45"/>
    <x v="30"/>
    <x v="5"/>
    <s v="10/09/2024"/>
    <x v="2"/>
    <n v="2"/>
    <x v="3"/>
    <x v="3"/>
  </r>
  <r>
    <x v="46"/>
    <x v="31"/>
    <x v="11"/>
    <s v="09/06/2024"/>
    <x v="0"/>
    <n v="5"/>
    <x v="2"/>
    <x v="4"/>
  </r>
  <r>
    <x v="47"/>
    <x v="5"/>
    <x v="16"/>
    <s v="22/01/2024"/>
    <x v="3"/>
    <n v="5"/>
    <x v="1"/>
    <x v="1"/>
  </r>
  <r>
    <x v="48"/>
    <x v="18"/>
    <x v="21"/>
    <s v="08/06/2024"/>
    <x v="0"/>
    <n v="5"/>
    <x v="1"/>
    <x v="2"/>
  </r>
  <r>
    <x v="49"/>
    <x v="28"/>
    <x v="13"/>
    <s v="23/08/2024"/>
    <x v="6"/>
    <n v="3"/>
    <x v="3"/>
    <x v="1"/>
  </r>
  <r>
    <x v="50"/>
    <x v="25"/>
    <x v="5"/>
    <s v="10/04/2024"/>
    <x v="7"/>
    <n v="2"/>
    <x v="2"/>
    <x v="1"/>
  </r>
  <r>
    <x v="51"/>
    <x v="7"/>
    <x v="12"/>
    <s v="02/02/2024"/>
    <x v="10"/>
    <n v="4"/>
    <x v="0"/>
    <x v="4"/>
  </r>
  <r>
    <x v="52"/>
    <x v="7"/>
    <x v="7"/>
    <s v="07/01/2024"/>
    <x v="3"/>
    <n v="3"/>
    <x v="1"/>
    <x v="4"/>
  </r>
  <r>
    <x v="53"/>
    <x v="32"/>
    <x v="17"/>
    <s v="08/09/2024"/>
    <x v="2"/>
    <n v="2"/>
    <x v="2"/>
    <x v="1"/>
  </r>
  <r>
    <x v="54"/>
    <x v="33"/>
    <x v="2"/>
    <s v="24/02/2024"/>
    <x v="10"/>
    <n v="1"/>
    <x v="3"/>
    <x v="4"/>
  </r>
  <r>
    <x v="55"/>
    <x v="0"/>
    <x v="0"/>
    <s v="16/05/2024"/>
    <x v="9"/>
    <n v="3"/>
    <x v="3"/>
    <x v="0"/>
  </r>
  <r>
    <x v="56"/>
    <x v="20"/>
    <x v="10"/>
    <s v="20/05/2024"/>
    <x v="9"/>
    <n v="3"/>
    <x v="3"/>
    <x v="3"/>
  </r>
  <r>
    <x v="57"/>
    <x v="31"/>
    <x v="4"/>
    <s v="30/04/2024"/>
    <x v="7"/>
    <n v="4"/>
    <x v="3"/>
    <x v="4"/>
  </r>
  <r>
    <x v="58"/>
    <x v="33"/>
    <x v="13"/>
    <s v="06/06/2024"/>
    <x v="0"/>
    <n v="2"/>
    <x v="0"/>
    <x v="4"/>
  </r>
  <r>
    <x v="59"/>
    <x v="26"/>
    <x v="23"/>
    <s v="18/05/2024"/>
    <x v="9"/>
    <n v="1"/>
    <x v="1"/>
    <x v="0"/>
  </r>
  <r>
    <x v="60"/>
    <x v="34"/>
    <x v="21"/>
    <s v="29/06/2024"/>
    <x v="0"/>
    <n v="5"/>
    <x v="0"/>
    <x v="1"/>
  </r>
  <r>
    <x v="61"/>
    <x v="30"/>
    <x v="14"/>
    <s v="19/02/2024"/>
    <x v="10"/>
    <n v="2"/>
    <x v="0"/>
    <x v="3"/>
  </r>
  <r>
    <x v="62"/>
    <x v="10"/>
    <x v="11"/>
    <s v="16/06/2024"/>
    <x v="0"/>
    <n v="1"/>
    <x v="0"/>
    <x v="3"/>
  </r>
  <r>
    <x v="63"/>
    <x v="10"/>
    <x v="24"/>
    <s v="09/04/2024"/>
    <x v="7"/>
    <n v="3"/>
    <x v="2"/>
    <x v="3"/>
  </r>
  <r>
    <x v="64"/>
    <x v="35"/>
    <x v="23"/>
    <s v="23/08/2024"/>
    <x v="6"/>
    <n v="2"/>
    <x v="3"/>
    <x v="1"/>
  </r>
  <r>
    <x v="65"/>
    <x v="36"/>
    <x v="23"/>
    <s v="05/06/2024"/>
    <x v="0"/>
    <n v="5"/>
    <x v="2"/>
    <x v="3"/>
  </r>
  <r>
    <x v="66"/>
    <x v="37"/>
    <x v="25"/>
    <s v="03/11/2024"/>
    <x v="8"/>
    <n v="1"/>
    <x v="2"/>
    <x v="1"/>
  </r>
  <r>
    <x v="67"/>
    <x v="38"/>
    <x v="26"/>
    <s v="01/03/2024"/>
    <x v="4"/>
    <n v="4"/>
    <x v="0"/>
    <x v="1"/>
  </r>
  <r>
    <x v="68"/>
    <x v="1"/>
    <x v="0"/>
    <s v="18/04/2024"/>
    <x v="7"/>
    <n v="4"/>
    <x v="2"/>
    <x v="1"/>
  </r>
  <r>
    <x v="69"/>
    <x v="22"/>
    <x v="18"/>
    <s v="26/03/2024"/>
    <x v="4"/>
    <n v="2"/>
    <x v="1"/>
    <x v="3"/>
  </r>
  <r>
    <x v="70"/>
    <x v="4"/>
    <x v="7"/>
    <s v="31/10/2024"/>
    <x v="1"/>
    <n v="3"/>
    <x v="0"/>
    <x v="2"/>
  </r>
  <r>
    <x v="71"/>
    <x v="23"/>
    <x v="8"/>
    <s v="03/08/2024"/>
    <x v="6"/>
    <n v="1"/>
    <x v="2"/>
    <x v="0"/>
  </r>
  <r>
    <x v="72"/>
    <x v="39"/>
    <x v="9"/>
    <s v="08/05/2024"/>
    <x v="9"/>
    <n v="5"/>
    <x v="3"/>
    <x v="1"/>
  </r>
  <r>
    <x v="73"/>
    <x v="0"/>
    <x v="17"/>
    <s v="27/07/2024"/>
    <x v="5"/>
    <n v="4"/>
    <x v="2"/>
    <x v="0"/>
  </r>
  <r>
    <x v="74"/>
    <x v="11"/>
    <x v="9"/>
    <s v="12/01/2024"/>
    <x v="3"/>
    <n v="3"/>
    <x v="3"/>
    <x v="1"/>
  </r>
  <r>
    <x v="75"/>
    <x v="27"/>
    <x v="11"/>
    <s v="28/02/2024"/>
    <x v="10"/>
    <n v="1"/>
    <x v="2"/>
    <x v="1"/>
  </r>
  <r>
    <x v="76"/>
    <x v="13"/>
    <x v="9"/>
    <s v="08/04/2024"/>
    <x v="7"/>
    <n v="3"/>
    <x v="2"/>
    <x v="3"/>
  </r>
  <r>
    <x v="77"/>
    <x v="33"/>
    <x v="10"/>
    <s v="04/01/2024"/>
    <x v="3"/>
    <n v="2"/>
    <x v="3"/>
    <x v="4"/>
  </r>
  <r>
    <x v="78"/>
    <x v="40"/>
    <x v="9"/>
    <s v="03/10/2024"/>
    <x v="1"/>
    <n v="3"/>
    <x v="3"/>
    <x v="0"/>
  </r>
  <r>
    <x v="79"/>
    <x v="41"/>
    <x v="18"/>
    <s v="31/08/2024"/>
    <x v="6"/>
    <n v="3"/>
    <x v="3"/>
    <x v="1"/>
  </r>
  <r>
    <x v="80"/>
    <x v="4"/>
    <x v="14"/>
    <s v="04/03/2024"/>
    <x v="4"/>
    <n v="3"/>
    <x v="1"/>
    <x v="2"/>
  </r>
  <r>
    <x v="81"/>
    <x v="32"/>
    <x v="9"/>
    <s v="15/01/2024"/>
    <x v="3"/>
    <n v="3"/>
    <x v="0"/>
    <x v="1"/>
  </r>
  <r>
    <x v="82"/>
    <x v="27"/>
    <x v="11"/>
    <s v="18/04/2024"/>
    <x v="7"/>
    <n v="4"/>
    <x v="0"/>
    <x v="1"/>
  </r>
  <r>
    <x v="83"/>
    <x v="22"/>
    <x v="11"/>
    <s v="31/01/2024"/>
    <x v="3"/>
    <n v="1"/>
    <x v="3"/>
    <x v="3"/>
  </r>
  <r>
    <x v="84"/>
    <x v="1"/>
    <x v="11"/>
    <s v="27/11/2024"/>
    <x v="8"/>
    <n v="4"/>
    <x v="1"/>
    <x v="1"/>
  </r>
  <r>
    <x v="85"/>
    <x v="42"/>
    <x v="12"/>
    <s v="16/11/2024"/>
    <x v="8"/>
    <n v="2"/>
    <x v="1"/>
    <x v="0"/>
  </r>
  <r>
    <x v="86"/>
    <x v="23"/>
    <x v="2"/>
    <s v="02/01/2024"/>
    <x v="3"/>
    <n v="1"/>
    <x v="0"/>
    <x v="0"/>
  </r>
  <r>
    <x v="87"/>
    <x v="6"/>
    <x v="13"/>
    <s v="15/01/2024"/>
    <x v="3"/>
    <n v="5"/>
    <x v="0"/>
    <x v="3"/>
  </r>
  <r>
    <x v="88"/>
    <x v="25"/>
    <x v="10"/>
    <s v="15/12/2024"/>
    <x v="11"/>
    <n v="5"/>
    <x v="0"/>
    <x v="1"/>
  </r>
  <r>
    <x v="89"/>
    <x v="41"/>
    <x v="26"/>
    <s v="28/05/2024"/>
    <x v="9"/>
    <n v="1"/>
    <x v="2"/>
    <x v="1"/>
  </r>
  <r>
    <x v="90"/>
    <x v="25"/>
    <x v="20"/>
    <s v="24/09/2024"/>
    <x v="2"/>
    <n v="3"/>
    <x v="0"/>
    <x v="1"/>
  </r>
  <r>
    <x v="91"/>
    <x v="19"/>
    <x v="3"/>
    <s v="18/11/2024"/>
    <x v="8"/>
    <n v="4"/>
    <x v="3"/>
    <x v="1"/>
  </r>
  <r>
    <x v="92"/>
    <x v="3"/>
    <x v="19"/>
    <s v="16/01/2024"/>
    <x v="3"/>
    <n v="2"/>
    <x v="1"/>
    <x v="2"/>
  </r>
  <r>
    <x v="93"/>
    <x v="16"/>
    <x v="20"/>
    <s v="23/08/2024"/>
    <x v="6"/>
    <n v="3"/>
    <x v="2"/>
    <x v="2"/>
  </r>
  <r>
    <x v="94"/>
    <x v="11"/>
    <x v="15"/>
    <s v="15/11/2024"/>
    <x v="8"/>
    <n v="5"/>
    <x v="0"/>
    <x v="1"/>
  </r>
  <r>
    <x v="95"/>
    <x v="30"/>
    <x v="22"/>
    <s v="23/12/2024"/>
    <x v="11"/>
    <n v="3"/>
    <x v="0"/>
    <x v="3"/>
  </r>
  <r>
    <x v="96"/>
    <x v="27"/>
    <x v="20"/>
    <s v="01/05/2024"/>
    <x v="9"/>
    <n v="2"/>
    <x v="3"/>
    <x v="1"/>
  </r>
  <r>
    <x v="97"/>
    <x v="17"/>
    <x v="23"/>
    <s v="23/07/2024"/>
    <x v="5"/>
    <n v="5"/>
    <x v="3"/>
    <x v="0"/>
  </r>
  <r>
    <x v="98"/>
    <x v="32"/>
    <x v="24"/>
    <s v="13/01/2024"/>
    <x v="3"/>
    <n v="2"/>
    <x v="0"/>
    <x v="1"/>
  </r>
  <r>
    <x v="99"/>
    <x v="2"/>
    <x v="21"/>
    <s v="26/06/2024"/>
    <x v="0"/>
    <n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56:I58" firstHeaderRow="1" firstDataRow="1" firstDataCol="1"/>
  <pivotFields count="8">
    <pivotField showAll="0"/>
    <pivotField showAll="0"/>
    <pivotField showAll="0"/>
    <pivotField showAll="0"/>
    <pivotField showAll="0">
      <items count="13">
        <item h="1" x="3"/>
        <item h="1" x="10"/>
        <item x="4"/>
        <item h="1" x="7"/>
        <item h="1" x="9"/>
        <item h="1" x="0"/>
        <item x="5"/>
        <item h="1" x="6"/>
        <item h="1" x="2"/>
        <item h="1" x="1"/>
        <item h="1" x="8"/>
        <item h="1" x="11"/>
        <item t="default"/>
      </items>
    </pivotField>
    <pivotField dataField="1" showAll="0"/>
    <pivotField showAll="0">
      <items count="5">
        <item x="1"/>
        <item x="3"/>
        <item x="0"/>
        <item x="2"/>
        <item t="default"/>
      </items>
    </pivotField>
    <pivotField axis="axisRow" showAll="0">
      <items count="6">
        <item h="1" x="2"/>
        <item x="0"/>
        <item h="1" x="3"/>
        <item h="1" x="1"/>
        <item h="1" x="4"/>
        <item t="default"/>
      </items>
    </pivotField>
  </pivotFields>
  <rowFields count="1">
    <field x="7"/>
  </rowFields>
  <rowItems count="2">
    <i>
      <x v="1"/>
    </i>
    <i t="grand">
      <x/>
    </i>
  </rowItems>
  <colItems count="1">
    <i/>
  </colItems>
  <dataFields count="1">
    <dataField name="Sum of Quantity"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8">
    <pivotField showAll="0"/>
    <pivotField axis="axisRow" showAll="0">
      <items count="44">
        <item x="16"/>
        <item x="15"/>
        <item x="19"/>
        <item x="4"/>
        <item x="42"/>
        <item x="1"/>
        <item x="40"/>
        <item x="38"/>
        <item x="21"/>
        <item x="35"/>
        <item x="26"/>
        <item x="20"/>
        <item x="34"/>
        <item x="18"/>
        <item x="28"/>
        <item x="13"/>
        <item x="14"/>
        <item x="31"/>
        <item x="12"/>
        <item x="23"/>
        <item x="39"/>
        <item x="22"/>
        <item x="36"/>
        <item x="30"/>
        <item x="32"/>
        <item x="24"/>
        <item x="2"/>
        <item x="11"/>
        <item x="3"/>
        <item x="10"/>
        <item x="29"/>
        <item x="17"/>
        <item x="9"/>
        <item x="27"/>
        <item x="0"/>
        <item x="6"/>
        <item x="25"/>
        <item x="33"/>
        <item x="5"/>
        <item x="37"/>
        <item x="8"/>
        <item x="7"/>
        <item x="41"/>
        <item t="default"/>
      </items>
    </pivotField>
    <pivotField showAll="0"/>
    <pivotField showAll="0"/>
    <pivotField showAll="0">
      <items count="13">
        <item h="1" x="3"/>
        <item h="1" x="10"/>
        <item x="4"/>
        <item h="1" x="7"/>
        <item h="1" x="9"/>
        <item h="1" x="0"/>
        <item x="5"/>
        <item h="1" x="6"/>
        <item h="1" x="2"/>
        <item h="1" x="1"/>
        <item h="1" x="8"/>
        <item h="1" x="11"/>
        <item t="default"/>
      </items>
    </pivotField>
    <pivotField dataField="1" showAll="0"/>
    <pivotField showAll="0">
      <items count="5">
        <item x="1"/>
        <item x="3"/>
        <item x="0"/>
        <item x="2"/>
        <item t="default"/>
      </items>
    </pivotField>
    <pivotField showAll="0">
      <items count="6">
        <item h="1" x="2"/>
        <item x="0"/>
        <item h="1" x="3"/>
        <item h="1" x="1"/>
        <item h="1" x="4"/>
        <item t="default"/>
      </items>
    </pivotField>
  </pivotFields>
  <rowFields count="1">
    <field x="1"/>
  </rowFields>
  <rowItems count="6">
    <i>
      <x v="10"/>
    </i>
    <i>
      <x v="19"/>
    </i>
    <i>
      <x v="31"/>
    </i>
    <i>
      <x v="34"/>
    </i>
    <i>
      <x v="40"/>
    </i>
    <i t="grand">
      <x/>
    </i>
  </rowItems>
  <colItems count="1">
    <i/>
  </colItems>
  <dataFields count="1">
    <dataField name="Sum of Quantity" fld="5" baseField="0" baseItem="0"/>
  </dataFields>
  <chartFormats count="2">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34:H37" firstHeaderRow="1" firstDataRow="1" firstDataCol="1"/>
  <pivotFields count="8">
    <pivotField showAll="0"/>
    <pivotField showAll="0"/>
    <pivotField showAll="0"/>
    <pivotField showAll="0"/>
    <pivotField axis="axisRow" showAll="0">
      <items count="13">
        <item h="1" x="3"/>
        <item h="1" x="10"/>
        <item x="4"/>
        <item h="1" x="7"/>
        <item h="1" x="9"/>
        <item h="1" x="0"/>
        <item x="5"/>
        <item h="1" x="6"/>
        <item h="1" x="2"/>
        <item h="1" x="1"/>
        <item h="1" x="8"/>
        <item h="1" x="11"/>
        <item t="default"/>
      </items>
    </pivotField>
    <pivotField dataField="1" showAll="0"/>
    <pivotField showAll="0">
      <items count="5">
        <item x="1"/>
        <item x="3"/>
        <item x="0"/>
        <item x="2"/>
        <item t="default"/>
      </items>
    </pivotField>
    <pivotField showAll="0">
      <items count="6">
        <item h="1" x="2"/>
        <item x="0"/>
        <item h="1" x="3"/>
        <item h="1" x="1"/>
        <item h="1" x="4"/>
        <item t="default"/>
      </items>
    </pivotField>
  </pivotFields>
  <rowFields count="1">
    <field x="4"/>
  </rowFields>
  <rowItems count="3">
    <i>
      <x v="2"/>
    </i>
    <i>
      <x v="6"/>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2:E36" firstHeaderRow="1" firstDataRow="1" firstDataCol="1"/>
  <pivotFields count="8">
    <pivotField showAll="0"/>
    <pivotField showAll="0"/>
    <pivotField showAll="0"/>
    <pivotField showAll="0"/>
    <pivotField showAll="0">
      <items count="13">
        <item h="1" x="3"/>
        <item h="1" x="10"/>
        <item x="4"/>
        <item h="1" x="7"/>
        <item h="1" x="9"/>
        <item h="1" x="0"/>
        <item x="5"/>
        <item h="1" x="6"/>
        <item h="1" x="2"/>
        <item h="1" x="1"/>
        <item h="1" x="8"/>
        <item h="1" x="11"/>
        <item t="default"/>
      </items>
    </pivotField>
    <pivotField dataField="1" showAll="0"/>
    <pivotField axis="axisRow" showAll="0">
      <items count="5">
        <item x="1"/>
        <item x="3"/>
        <item x="0"/>
        <item x="2"/>
        <item t="default"/>
      </items>
    </pivotField>
    <pivotField showAll="0">
      <items count="6">
        <item h="1" x="2"/>
        <item x="0"/>
        <item h="1" x="3"/>
        <item h="1" x="1"/>
        <item h="1" x="4"/>
        <item t="default"/>
      </items>
    </pivotField>
  </pivotFields>
  <rowFields count="1">
    <field x="6"/>
  </rowFields>
  <rowItems count="4">
    <i>
      <x/>
    </i>
    <i>
      <x v="1"/>
    </i>
    <i>
      <x v="3"/>
    </i>
    <i t="grand">
      <x/>
    </i>
  </rowItems>
  <colItems count="1">
    <i/>
  </colItems>
  <dataFields count="1">
    <dataField name="Sum of Quantity" fld="5" baseField="0" baseItem="0"/>
  </dataFields>
  <chartFormats count="2">
    <chartFormat chart="3" format="1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1" name="PivotTable4"/>
    <pivotTable tabId="11" name="PivotTable2"/>
    <pivotTable tabId="11" name="PivotTable5"/>
    <pivotTable tabId="11" name="PivotTable6"/>
  </pivotTables>
  <data>
    <tabular pivotCacheId="1">
      <items count="12">
        <i x="3"/>
        <i x="4" s="1"/>
        <i x="9"/>
        <i x="0"/>
        <i x="5" s="1"/>
        <i x="6"/>
        <i x="1"/>
        <i x="8"/>
        <i x="10" nd="1"/>
        <i x="7" nd="1"/>
        <i x="2" nd="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11" name="PivotTable4"/>
    <pivotTable tabId="11" name="PivotTable2"/>
    <pivotTable tabId="11" name="PivotTable5"/>
    <pivotTable tabId="11" name="PivotTable6"/>
  </pivotTables>
  <data>
    <tabular pivotCacheId="1">
      <items count="4">
        <i x="1" s="1"/>
        <i x="3" s="1"/>
        <i x="2"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1" name="PivotTable4"/>
    <pivotTable tabId="11" name="PivotTable2"/>
    <pivotTable tabId="11" name="PivotTable5"/>
    <pivotTable tabId="11" name="PivotTable6"/>
  </pivotTables>
  <data>
    <tabular pivotCacheId="1">
      <items count="5">
        <i x="2"/>
        <i x="0" s="1"/>
        <i x="3"/>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41300"/>
  <slicer name="Payment_Method" cache="Slicer_Payment_Method" caption="Payment_Method" rowHeight="241300"/>
  <slicer name="City" cache="Slicer_City" caption="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workbookViewId="0">
      <selection activeCell="D9" sqref="D9"/>
    </sheetView>
  </sheetViews>
  <sheetFormatPr defaultRowHeight="14.5" x14ac:dyDescent="0.35"/>
  <cols>
    <col min="1" max="1" width="13.6328125" customWidth="1"/>
    <col min="2" max="2" width="17.26953125" customWidth="1"/>
    <col min="3" max="3" width="10.81640625" customWidth="1"/>
    <col min="4" max="4" width="13.36328125" customWidth="1"/>
    <col min="5" max="5" width="16.81640625" customWidth="1"/>
  </cols>
  <sheetData>
    <row r="1" spans="1:5" x14ac:dyDescent="0.35">
      <c r="A1" t="s">
        <v>0</v>
      </c>
      <c r="B1" t="s">
        <v>1</v>
      </c>
      <c r="C1" t="s">
        <v>2</v>
      </c>
      <c r="D1" t="s">
        <v>3</v>
      </c>
    </row>
    <row r="2" spans="1:5" x14ac:dyDescent="0.35">
      <c r="A2" t="s">
        <v>4</v>
      </c>
      <c r="B2" t="s">
        <v>5</v>
      </c>
      <c r="C2">
        <v>23</v>
      </c>
      <c r="D2" t="s">
        <v>6</v>
      </c>
      <c r="E2" s="4"/>
    </row>
    <row r="3" spans="1:5" x14ac:dyDescent="0.35">
      <c r="A3" t="s">
        <v>7</v>
      </c>
      <c r="B3" t="s">
        <v>8</v>
      </c>
      <c r="C3">
        <v>60</v>
      </c>
      <c r="D3" t="s">
        <v>9</v>
      </c>
      <c r="E3" s="4"/>
    </row>
    <row r="4" spans="1:5" x14ac:dyDescent="0.35">
      <c r="A4" t="s">
        <v>10</v>
      </c>
      <c r="B4" t="s">
        <v>11</v>
      </c>
      <c r="C4">
        <v>26</v>
      </c>
      <c r="D4" t="s">
        <v>12</v>
      </c>
      <c r="E4" s="4"/>
    </row>
    <row r="5" spans="1:5" x14ac:dyDescent="0.35">
      <c r="A5" t="s">
        <v>13</v>
      </c>
      <c r="B5" t="s">
        <v>11</v>
      </c>
      <c r="C5">
        <v>42</v>
      </c>
      <c r="D5" t="s">
        <v>6</v>
      </c>
      <c r="E5" s="4"/>
    </row>
    <row r="6" spans="1:5" x14ac:dyDescent="0.35">
      <c r="A6" t="s">
        <v>14</v>
      </c>
      <c r="B6" t="s">
        <v>15</v>
      </c>
      <c r="C6">
        <v>19</v>
      </c>
      <c r="D6" t="s">
        <v>16</v>
      </c>
      <c r="E6" s="4"/>
    </row>
    <row r="7" spans="1:5" x14ac:dyDescent="0.35">
      <c r="A7" t="s">
        <v>17</v>
      </c>
      <c r="B7" t="s">
        <v>18</v>
      </c>
      <c r="C7">
        <v>64</v>
      </c>
      <c r="D7" t="s">
        <v>12</v>
      </c>
      <c r="E7" s="4"/>
    </row>
    <row r="8" spans="1:5" x14ac:dyDescent="0.35">
      <c r="A8" t="s">
        <v>19</v>
      </c>
      <c r="B8" t="s">
        <v>15</v>
      </c>
      <c r="C8">
        <v>44</v>
      </c>
      <c r="D8" t="s">
        <v>16</v>
      </c>
      <c r="E8" s="4"/>
    </row>
    <row r="9" spans="1:5" x14ac:dyDescent="0.35">
      <c r="A9" t="s">
        <v>20</v>
      </c>
      <c r="B9" t="s">
        <v>21</v>
      </c>
      <c r="C9">
        <v>58</v>
      </c>
      <c r="D9" t="s">
        <v>12</v>
      </c>
      <c r="E9" s="4"/>
    </row>
    <row r="10" spans="1:5" x14ac:dyDescent="0.35">
      <c r="A10" t="s">
        <v>22</v>
      </c>
      <c r="B10" t="s">
        <v>18</v>
      </c>
      <c r="C10">
        <v>38</v>
      </c>
      <c r="D10" t="s">
        <v>12</v>
      </c>
      <c r="E10" s="4"/>
    </row>
    <row r="11" spans="1:5" x14ac:dyDescent="0.35">
      <c r="A11" t="s">
        <v>23</v>
      </c>
      <c r="B11" t="s">
        <v>18</v>
      </c>
      <c r="C11">
        <v>49</v>
      </c>
      <c r="D11" t="s">
        <v>9</v>
      </c>
      <c r="E11" s="4"/>
    </row>
    <row r="12" spans="1:5" x14ac:dyDescent="0.35">
      <c r="A12" t="s">
        <v>24</v>
      </c>
      <c r="B12" t="s">
        <v>25</v>
      </c>
      <c r="C12">
        <v>48</v>
      </c>
      <c r="D12" t="s">
        <v>12</v>
      </c>
      <c r="E12" s="4"/>
    </row>
    <row r="13" spans="1:5" x14ac:dyDescent="0.35">
      <c r="A13" t="s">
        <v>26</v>
      </c>
      <c r="B13" t="s">
        <v>8</v>
      </c>
      <c r="C13">
        <v>47</v>
      </c>
      <c r="D13" t="s">
        <v>9</v>
      </c>
      <c r="E13" s="4"/>
    </row>
    <row r="14" spans="1:5" x14ac:dyDescent="0.35">
      <c r="A14" t="s">
        <v>27</v>
      </c>
      <c r="B14" t="s">
        <v>8</v>
      </c>
      <c r="C14">
        <v>36</v>
      </c>
      <c r="D14" t="s">
        <v>12</v>
      </c>
      <c r="E14" s="4"/>
    </row>
    <row r="15" spans="1:5" x14ac:dyDescent="0.35">
      <c r="A15" t="s">
        <v>28</v>
      </c>
      <c r="B15" t="s">
        <v>5</v>
      </c>
      <c r="C15">
        <v>25</v>
      </c>
      <c r="D15" t="s">
        <v>16</v>
      </c>
      <c r="E15" s="4"/>
    </row>
    <row r="16" spans="1:5" x14ac:dyDescent="0.35">
      <c r="A16" t="s">
        <v>29</v>
      </c>
      <c r="B16" t="s">
        <v>21</v>
      </c>
      <c r="C16">
        <v>20</v>
      </c>
      <c r="D16" t="s">
        <v>30</v>
      </c>
      <c r="E16" s="4"/>
    </row>
    <row r="17" spans="1:5" x14ac:dyDescent="0.35">
      <c r="A17" t="s">
        <v>31</v>
      </c>
      <c r="B17" t="s">
        <v>18</v>
      </c>
      <c r="C17">
        <v>44</v>
      </c>
      <c r="D17" t="s">
        <v>12</v>
      </c>
      <c r="E17" s="4"/>
    </row>
    <row r="18" spans="1:5" x14ac:dyDescent="0.35">
      <c r="A18" t="s">
        <v>32</v>
      </c>
      <c r="B18" t="s">
        <v>18</v>
      </c>
      <c r="C18">
        <v>61</v>
      </c>
      <c r="D18" t="s">
        <v>6</v>
      </c>
      <c r="E18" s="4"/>
    </row>
    <row r="19" spans="1:5" x14ac:dyDescent="0.35">
      <c r="A19" t="s">
        <v>33</v>
      </c>
      <c r="B19" t="s">
        <v>34</v>
      </c>
      <c r="C19">
        <v>65</v>
      </c>
      <c r="D19" t="s">
        <v>12</v>
      </c>
      <c r="E19" s="4"/>
    </row>
    <row r="20" spans="1:5" x14ac:dyDescent="0.35">
      <c r="A20" t="s">
        <v>35</v>
      </c>
      <c r="B20" t="s">
        <v>8</v>
      </c>
      <c r="C20">
        <v>60</v>
      </c>
      <c r="D20" t="s">
        <v>12</v>
      </c>
      <c r="E20" s="4"/>
    </row>
    <row r="21" spans="1:5" x14ac:dyDescent="0.35">
      <c r="A21" t="s">
        <v>36</v>
      </c>
      <c r="B21" t="s">
        <v>15</v>
      </c>
      <c r="C21">
        <v>48</v>
      </c>
      <c r="D21" t="s">
        <v>30</v>
      </c>
      <c r="E21" s="4"/>
    </row>
    <row r="22" spans="1:5" x14ac:dyDescent="0.35">
      <c r="A22" t="s">
        <v>37</v>
      </c>
      <c r="B22" t="s">
        <v>38</v>
      </c>
      <c r="C22">
        <v>26</v>
      </c>
      <c r="D22" t="s">
        <v>16</v>
      </c>
      <c r="E22" s="4"/>
    </row>
    <row r="23" spans="1:5" x14ac:dyDescent="0.35">
      <c r="A23" t="s">
        <v>39</v>
      </c>
      <c r="B23" t="s">
        <v>38</v>
      </c>
      <c r="C23">
        <v>21</v>
      </c>
      <c r="D23" t="s">
        <v>9</v>
      </c>
      <c r="E23" s="4"/>
    </row>
    <row r="24" spans="1:5" x14ac:dyDescent="0.35">
      <c r="A24" t="s">
        <v>40</v>
      </c>
      <c r="B24" t="s">
        <v>5</v>
      </c>
      <c r="C24">
        <v>45</v>
      </c>
      <c r="D24" t="s">
        <v>30</v>
      </c>
      <c r="E24" s="4"/>
    </row>
    <row r="25" spans="1:5" x14ac:dyDescent="0.35">
      <c r="A25" t="s">
        <v>41</v>
      </c>
      <c r="B25" t="s">
        <v>8</v>
      </c>
      <c r="C25">
        <v>25</v>
      </c>
      <c r="D25" t="s">
        <v>16</v>
      </c>
      <c r="E25" s="4"/>
    </row>
    <row r="26" spans="1:5" x14ac:dyDescent="0.35">
      <c r="A26" t="s">
        <v>42</v>
      </c>
      <c r="B26" t="s">
        <v>34</v>
      </c>
      <c r="C26">
        <v>59</v>
      </c>
      <c r="D26" t="s">
        <v>6</v>
      </c>
      <c r="E26" s="4"/>
    </row>
    <row r="27" spans="1:5" x14ac:dyDescent="0.35">
      <c r="A27" t="s">
        <v>43</v>
      </c>
      <c r="B27" t="s">
        <v>18</v>
      </c>
      <c r="C27">
        <v>59</v>
      </c>
      <c r="D27" t="s">
        <v>12</v>
      </c>
      <c r="E27" s="4"/>
    </row>
    <row r="28" spans="1:5" x14ac:dyDescent="0.35">
      <c r="A28" t="s">
        <v>44</v>
      </c>
      <c r="B28" t="s">
        <v>21</v>
      </c>
      <c r="C28">
        <v>61</v>
      </c>
      <c r="D28" t="s">
        <v>30</v>
      </c>
      <c r="E28" s="4"/>
    </row>
    <row r="29" spans="1:5" x14ac:dyDescent="0.35">
      <c r="A29" t="s">
        <v>45</v>
      </c>
      <c r="B29" t="s">
        <v>38</v>
      </c>
      <c r="C29">
        <v>57</v>
      </c>
      <c r="D29" t="s">
        <v>30</v>
      </c>
      <c r="E29" s="4"/>
    </row>
    <row r="30" spans="1:5" x14ac:dyDescent="0.35">
      <c r="A30" t="s">
        <v>46</v>
      </c>
      <c r="B30" t="s">
        <v>34</v>
      </c>
      <c r="C30">
        <v>59</v>
      </c>
      <c r="D30" t="s">
        <v>30</v>
      </c>
      <c r="E30" s="4"/>
    </row>
    <row r="31" spans="1:5" x14ac:dyDescent="0.35">
      <c r="A31" t="s">
        <v>47</v>
      </c>
      <c r="B31" t="s">
        <v>15</v>
      </c>
      <c r="C31">
        <v>43</v>
      </c>
      <c r="D31" t="s">
        <v>12</v>
      </c>
      <c r="E31" s="4"/>
    </row>
    <row r="32" spans="1:5" x14ac:dyDescent="0.35">
      <c r="A32" t="s">
        <v>48</v>
      </c>
      <c r="B32" t="s">
        <v>38</v>
      </c>
      <c r="C32">
        <v>59</v>
      </c>
      <c r="D32" t="s">
        <v>30</v>
      </c>
      <c r="E32" s="4"/>
    </row>
    <row r="33" spans="1:5" x14ac:dyDescent="0.35">
      <c r="A33" t="s">
        <v>49</v>
      </c>
      <c r="B33" t="s">
        <v>5</v>
      </c>
      <c r="C33">
        <v>21</v>
      </c>
      <c r="D33" t="s">
        <v>16</v>
      </c>
      <c r="E33" s="4"/>
    </row>
    <row r="34" spans="1:5" x14ac:dyDescent="0.35">
      <c r="A34" t="s">
        <v>50</v>
      </c>
      <c r="B34" t="s">
        <v>11</v>
      </c>
      <c r="C34">
        <v>19</v>
      </c>
      <c r="D34" t="s">
        <v>12</v>
      </c>
      <c r="E34" s="4"/>
    </row>
    <row r="35" spans="1:5" x14ac:dyDescent="0.35">
      <c r="A35" t="s">
        <v>51</v>
      </c>
      <c r="B35" t="s">
        <v>52</v>
      </c>
      <c r="C35">
        <v>57</v>
      </c>
      <c r="D35" t="s">
        <v>6</v>
      </c>
      <c r="E35" s="4"/>
    </row>
    <row r="36" spans="1:5" x14ac:dyDescent="0.35">
      <c r="A36" t="s">
        <v>53</v>
      </c>
      <c r="B36" t="s">
        <v>38</v>
      </c>
      <c r="C36">
        <v>62</v>
      </c>
      <c r="D36" t="s">
        <v>30</v>
      </c>
      <c r="E36" s="4"/>
    </row>
    <row r="37" spans="1:5" x14ac:dyDescent="0.35">
      <c r="A37" t="s">
        <v>54</v>
      </c>
      <c r="B37" t="s">
        <v>15</v>
      </c>
      <c r="C37">
        <v>55</v>
      </c>
      <c r="D37" t="s">
        <v>6</v>
      </c>
      <c r="E37" s="4"/>
    </row>
    <row r="38" spans="1:5" x14ac:dyDescent="0.35">
      <c r="A38" t="s">
        <v>55</v>
      </c>
      <c r="B38" t="s">
        <v>8</v>
      </c>
      <c r="C38">
        <v>26</v>
      </c>
      <c r="D38" t="s">
        <v>16</v>
      </c>
      <c r="E38" s="4"/>
    </row>
    <row r="39" spans="1:5" x14ac:dyDescent="0.35">
      <c r="A39" t="s">
        <v>56</v>
      </c>
      <c r="B39" t="s">
        <v>5</v>
      </c>
      <c r="C39">
        <v>51</v>
      </c>
      <c r="D39" t="s">
        <v>16</v>
      </c>
      <c r="E39" s="4"/>
    </row>
    <row r="40" spans="1:5" x14ac:dyDescent="0.35">
      <c r="A40" t="s">
        <v>57</v>
      </c>
      <c r="B40" t="s">
        <v>38</v>
      </c>
      <c r="C40">
        <v>22</v>
      </c>
      <c r="D40" t="s">
        <v>16</v>
      </c>
      <c r="E40" s="4"/>
    </row>
    <row r="41" spans="1:5" x14ac:dyDescent="0.35">
      <c r="A41" t="s">
        <v>58</v>
      </c>
      <c r="B41" t="s">
        <v>52</v>
      </c>
      <c r="C41">
        <v>29</v>
      </c>
      <c r="D41" t="s">
        <v>12</v>
      </c>
      <c r="E41" s="4"/>
    </row>
    <row r="42" spans="1:5" x14ac:dyDescent="0.35">
      <c r="A42" t="s">
        <v>59</v>
      </c>
      <c r="B42" t="s">
        <v>15</v>
      </c>
      <c r="C42">
        <v>46</v>
      </c>
      <c r="D42" t="s">
        <v>16</v>
      </c>
      <c r="E42" s="4"/>
    </row>
    <row r="43" spans="1:5" x14ac:dyDescent="0.35">
      <c r="A43" t="s">
        <v>60</v>
      </c>
      <c r="B43" t="s">
        <v>11</v>
      </c>
      <c r="C43">
        <v>38</v>
      </c>
      <c r="D43" t="s">
        <v>30</v>
      </c>
      <c r="E43" s="4"/>
    </row>
    <row r="44" spans="1:5" x14ac:dyDescent="0.35">
      <c r="A44" t="s">
        <v>61</v>
      </c>
      <c r="B44" t="s">
        <v>34</v>
      </c>
      <c r="C44">
        <v>36</v>
      </c>
      <c r="D44" t="s">
        <v>12</v>
      </c>
      <c r="E44" s="4"/>
    </row>
    <row r="45" spans="1:5" x14ac:dyDescent="0.35">
      <c r="A45" t="s">
        <v>62</v>
      </c>
      <c r="B45" t="s">
        <v>21</v>
      </c>
      <c r="C45">
        <v>62</v>
      </c>
      <c r="D45" t="s">
        <v>9</v>
      </c>
      <c r="E45" s="4"/>
    </row>
    <row r="46" spans="1:5" x14ac:dyDescent="0.35">
      <c r="A46" t="s">
        <v>63</v>
      </c>
      <c r="B46" t="s">
        <v>8</v>
      </c>
      <c r="C46">
        <v>21</v>
      </c>
      <c r="D46" t="s">
        <v>12</v>
      </c>
      <c r="E46" s="4"/>
    </row>
    <row r="47" spans="1:5" x14ac:dyDescent="0.35">
      <c r="A47" t="s">
        <v>64</v>
      </c>
      <c r="B47" t="s">
        <v>38</v>
      </c>
      <c r="C47">
        <v>57</v>
      </c>
      <c r="D47" t="s">
        <v>12</v>
      </c>
      <c r="E47" s="4"/>
    </row>
    <row r="48" spans="1:5" x14ac:dyDescent="0.35">
      <c r="A48" t="s">
        <v>65</v>
      </c>
      <c r="B48" t="s">
        <v>25</v>
      </c>
      <c r="C48">
        <v>60</v>
      </c>
      <c r="D48" t="s">
        <v>12</v>
      </c>
      <c r="E48" s="4"/>
    </row>
    <row r="49" spans="1:5" x14ac:dyDescent="0.35">
      <c r="A49" t="s">
        <v>66</v>
      </c>
      <c r="B49" t="s">
        <v>25</v>
      </c>
      <c r="C49">
        <v>23</v>
      </c>
      <c r="D49" t="s">
        <v>16</v>
      </c>
      <c r="E49" s="4"/>
    </row>
    <row r="50" spans="1:5" x14ac:dyDescent="0.35">
      <c r="A50" t="s">
        <v>67</v>
      </c>
      <c r="B50" t="s">
        <v>25</v>
      </c>
      <c r="C50">
        <v>56</v>
      </c>
      <c r="D50" t="s">
        <v>9</v>
      </c>
      <c r="E50" s="4"/>
    </row>
    <row r="51" spans="1:5" x14ac:dyDescent="0.35">
      <c r="A51" t="s">
        <v>68</v>
      </c>
      <c r="B51" t="s">
        <v>38</v>
      </c>
      <c r="C51">
        <v>46</v>
      </c>
      <c r="D51" t="s">
        <v>12</v>
      </c>
      <c r="E51" s="4"/>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election activeCell="C2" sqref="C2"/>
    </sheetView>
  </sheetViews>
  <sheetFormatPr defaultRowHeight="14.5" x14ac:dyDescent="0.35"/>
  <cols>
    <col min="1" max="1" width="13" customWidth="1"/>
    <col min="2" max="2" width="18" customWidth="1"/>
    <col min="3" max="3" width="16.26953125" customWidth="1"/>
    <col min="4" max="4" width="15.54296875" customWidth="1"/>
    <col min="5" max="5" width="13.08984375" customWidth="1"/>
  </cols>
  <sheetData>
    <row r="1" spans="1:4" x14ac:dyDescent="0.35">
      <c r="A1" t="s">
        <v>69</v>
      </c>
      <c r="B1" t="s">
        <v>70</v>
      </c>
      <c r="C1" t="s">
        <v>71</v>
      </c>
      <c r="D1" t="s">
        <v>72</v>
      </c>
    </row>
    <row r="2" spans="1:4" x14ac:dyDescent="0.35">
      <c r="A2" t="s">
        <v>73</v>
      </c>
      <c r="B2" t="s">
        <v>74</v>
      </c>
      <c r="C2" t="s">
        <v>75</v>
      </c>
      <c r="D2" s="2">
        <v>1780</v>
      </c>
    </row>
    <row r="3" spans="1:4" x14ac:dyDescent="0.35">
      <c r="A3" t="s">
        <v>76</v>
      </c>
      <c r="B3" t="s">
        <v>77</v>
      </c>
      <c r="C3" t="s">
        <v>78</v>
      </c>
      <c r="D3" s="2">
        <v>19883</v>
      </c>
    </row>
    <row r="4" spans="1:4" x14ac:dyDescent="0.35">
      <c r="A4" t="s">
        <v>79</v>
      </c>
      <c r="B4" t="s">
        <v>80</v>
      </c>
      <c r="C4" t="s">
        <v>81</v>
      </c>
      <c r="D4" s="2">
        <v>6948</v>
      </c>
    </row>
    <row r="5" spans="1:4" x14ac:dyDescent="0.35">
      <c r="A5" t="s">
        <v>82</v>
      </c>
      <c r="B5" t="s">
        <v>80</v>
      </c>
      <c r="C5" t="s">
        <v>81</v>
      </c>
      <c r="D5" s="2">
        <v>17614</v>
      </c>
    </row>
    <row r="6" spans="1:4" x14ac:dyDescent="0.35">
      <c r="A6" t="s">
        <v>83</v>
      </c>
      <c r="B6" t="s">
        <v>84</v>
      </c>
      <c r="C6" t="s">
        <v>75</v>
      </c>
      <c r="D6" s="2">
        <v>8875</v>
      </c>
    </row>
    <row r="7" spans="1:4" x14ac:dyDescent="0.35">
      <c r="A7" t="s">
        <v>85</v>
      </c>
      <c r="B7" t="s">
        <v>86</v>
      </c>
      <c r="C7" t="s">
        <v>87</v>
      </c>
      <c r="D7" s="2">
        <v>13649</v>
      </c>
    </row>
    <row r="8" spans="1:4" x14ac:dyDescent="0.35">
      <c r="A8" t="s">
        <v>88</v>
      </c>
      <c r="B8" t="s">
        <v>89</v>
      </c>
      <c r="C8" t="s">
        <v>90</v>
      </c>
      <c r="D8" s="2">
        <v>11625</v>
      </c>
    </row>
    <row r="9" spans="1:4" x14ac:dyDescent="0.35">
      <c r="A9" t="s">
        <v>91</v>
      </c>
      <c r="B9" t="s">
        <v>92</v>
      </c>
      <c r="C9" t="s">
        <v>78</v>
      </c>
      <c r="D9" s="2">
        <v>19088</v>
      </c>
    </row>
    <row r="10" spans="1:4" x14ac:dyDescent="0.35">
      <c r="A10" t="s">
        <v>93</v>
      </c>
      <c r="B10" t="s">
        <v>89</v>
      </c>
      <c r="C10" t="s">
        <v>90</v>
      </c>
      <c r="D10" s="2">
        <v>7963</v>
      </c>
    </row>
    <row r="11" spans="1:4" x14ac:dyDescent="0.35">
      <c r="A11" t="s">
        <v>94</v>
      </c>
      <c r="B11" t="s">
        <v>95</v>
      </c>
      <c r="C11" t="s">
        <v>90</v>
      </c>
      <c r="D11" s="2">
        <v>18012</v>
      </c>
    </row>
    <row r="12" spans="1:4" x14ac:dyDescent="0.35">
      <c r="A12" t="s">
        <v>96</v>
      </c>
      <c r="B12" t="s">
        <v>77</v>
      </c>
      <c r="C12" t="s">
        <v>78</v>
      </c>
      <c r="D12" s="2">
        <v>5104</v>
      </c>
    </row>
    <row r="13" spans="1:4" x14ac:dyDescent="0.35">
      <c r="A13" t="s">
        <v>97</v>
      </c>
      <c r="B13" t="s">
        <v>80</v>
      </c>
      <c r="C13" t="s">
        <v>81</v>
      </c>
      <c r="D13" s="2">
        <v>19755</v>
      </c>
    </row>
    <row r="14" spans="1:4" x14ac:dyDescent="0.35">
      <c r="A14" t="s">
        <v>98</v>
      </c>
      <c r="B14" t="s">
        <v>80</v>
      </c>
      <c r="C14" t="s">
        <v>81</v>
      </c>
      <c r="D14" s="2">
        <v>19968</v>
      </c>
    </row>
    <row r="15" spans="1:4" x14ac:dyDescent="0.35">
      <c r="A15" t="s">
        <v>99</v>
      </c>
      <c r="B15" t="s">
        <v>89</v>
      </c>
      <c r="C15" t="s">
        <v>90</v>
      </c>
      <c r="D15" s="2">
        <v>8083</v>
      </c>
    </row>
    <row r="16" spans="1:4" x14ac:dyDescent="0.35">
      <c r="A16" t="s">
        <v>100</v>
      </c>
      <c r="B16" t="s">
        <v>86</v>
      </c>
      <c r="C16" t="s">
        <v>87</v>
      </c>
      <c r="D16" s="2">
        <v>17117</v>
      </c>
    </row>
    <row r="17" spans="1:4" x14ac:dyDescent="0.35">
      <c r="A17" t="s">
        <v>101</v>
      </c>
      <c r="B17" t="s">
        <v>74</v>
      </c>
      <c r="C17" t="s">
        <v>75</v>
      </c>
      <c r="D17" s="2">
        <v>3066</v>
      </c>
    </row>
    <row r="18" spans="1:4" x14ac:dyDescent="0.35">
      <c r="A18" t="s">
        <v>102</v>
      </c>
      <c r="B18" t="s">
        <v>77</v>
      </c>
      <c r="C18" t="s">
        <v>78</v>
      </c>
      <c r="D18" s="2">
        <v>3305</v>
      </c>
    </row>
    <row r="19" spans="1:4" x14ac:dyDescent="0.35">
      <c r="A19" t="s">
        <v>103</v>
      </c>
      <c r="B19" t="s">
        <v>80</v>
      </c>
      <c r="C19" t="s">
        <v>81</v>
      </c>
      <c r="D19" s="2">
        <v>7552</v>
      </c>
    </row>
    <row r="20" spans="1:4" x14ac:dyDescent="0.35">
      <c r="A20" t="s">
        <v>104</v>
      </c>
      <c r="B20" t="s">
        <v>92</v>
      </c>
      <c r="C20" t="s">
        <v>78</v>
      </c>
      <c r="D20" s="2">
        <v>8158</v>
      </c>
    </row>
    <row r="21" spans="1:4" x14ac:dyDescent="0.35">
      <c r="A21" t="s">
        <v>105</v>
      </c>
      <c r="B21" t="s">
        <v>95</v>
      </c>
      <c r="C21" t="s">
        <v>90</v>
      </c>
      <c r="D21" s="2">
        <v>4746</v>
      </c>
    </row>
    <row r="22" spans="1:4" x14ac:dyDescent="0.35">
      <c r="A22" t="s">
        <v>106</v>
      </c>
      <c r="B22" t="s">
        <v>77</v>
      </c>
      <c r="C22" t="s">
        <v>78</v>
      </c>
      <c r="D22" s="2">
        <v>13313</v>
      </c>
    </row>
    <row r="23" spans="1:4" x14ac:dyDescent="0.35">
      <c r="A23" t="s">
        <v>107</v>
      </c>
      <c r="B23" t="s">
        <v>108</v>
      </c>
      <c r="C23" t="s">
        <v>87</v>
      </c>
      <c r="D23" s="2">
        <v>18529</v>
      </c>
    </row>
    <row r="24" spans="1:4" x14ac:dyDescent="0.35">
      <c r="A24" t="s">
        <v>109</v>
      </c>
      <c r="B24" t="s">
        <v>84</v>
      </c>
      <c r="C24" t="s">
        <v>75</v>
      </c>
      <c r="D24" s="2">
        <v>16347</v>
      </c>
    </row>
    <row r="25" spans="1:4" x14ac:dyDescent="0.35">
      <c r="A25" t="s">
        <v>110</v>
      </c>
      <c r="B25" t="s">
        <v>80</v>
      </c>
      <c r="C25" t="s">
        <v>81</v>
      </c>
      <c r="D25" s="2">
        <v>15361</v>
      </c>
    </row>
    <row r="26" spans="1:4" x14ac:dyDescent="0.35">
      <c r="A26" t="s">
        <v>111</v>
      </c>
      <c r="B26" t="s">
        <v>92</v>
      </c>
      <c r="C26" t="s">
        <v>78</v>
      </c>
      <c r="D26" s="2">
        <v>12097</v>
      </c>
    </row>
    <row r="27" spans="1:4" x14ac:dyDescent="0.35">
      <c r="A27" t="s">
        <v>112</v>
      </c>
      <c r="B27" t="s">
        <v>84</v>
      </c>
      <c r="C27" t="s">
        <v>75</v>
      </c>
      <c r="D27" s="2">
        <v>8822</v>
      </c>
    </row>
    <row r="28" spans="1:4" x14ac:dyDescent="0.35">
      <c r="A28" t="s">
        <v>113</v>
      </c>
      <c r="B28" t="s">
        <v>86</v>
      </c>
      <c r="C28" t="s">
        <v>87</v>
      </c>
      <c r="D28" s="2">
        <v>7972</v>
      </c>
    </row>
    <row r="29" spans="1:4" x14ac:dyDescent="0.35">
      <c r="A29" t="s">
        <v>114</v>
      </c>
      <c r="B29" t="s">
        <v>115</v>
      </c>
      <c r="C29" t="s">
        <v>81</v>
      </c>
      <c r="D29" s="2">
        <v>2779</v>
      </c>
    </row>
    <row r="30" spans="1:4" x14ac:dyDescent="0.35">
      <c r="A30" t="s">
        <v>116</v>
      </c>
      <c r="B30" t="s">
        <v>92</v>
      </c>
      <c r="C30" t="s">
        <v>78</v>
      </c>
      <c r="D30" s="2">
        <v>8096</v>
      </c>
    </row>
    <row r="31" spans="1:4" x14ac:dyDescent="0.35">
      <c r="A31" t="s">
        <v>117</v>
      </c>
      <c r="B31" t="s">
        <v>95</v>
      </c>
      <c r="C31" t="s">
        <v>90</v>
      </c>
      <c r="D31" s="2">
        <v>8706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workbookViewId="0">
      <selection activeCell="G103" sqref="G103"/>
    </sheetView>
  </sheetViews>
  <sheetFormatPr defaultRowHeight="14.5" x14ac:dyDescent="0.35"/>
  <cols>
    <col min="1" max="1" width="12.6328125" customWidth="1"/>
    <col min="2" max="2" width="13.54296875" customWidth="1"/>
    <col min="3" max="3" width="14.36328125" customWidth="1"/>
    <col min="4" max="4" width="14.36328125" style="5" customWidth="1"/>
    <col min="5" max="5" width="16" customWidth="1"/>
    <col min="7" max="7" width="15.81640625" customWidth="1"/>
    <col min="8" max="8" width="21.26953125" customWidth="1"/>
    <col min="9" max="9" width="16" customWidth="1"/>
  </cols>
  <sheetData>
    <row r="1" spans="1:8" x14ac:dyDescent="0.35">
      <c r="A1" t="s">
        <v>118</v>
      </c>
      <c r="B1" t="s">
        <v>0</v>
      </c>
      <c r="C1" t="s">
        <v>69</v>
      </c>
      <c r="D1" s="5" t="s">
        <v>119</v>
      </c>
      <c r="E1" t="s">
        <v>310</v>
      </c>
      <c r="F1" t="s">
        <v>120</v>
      </c>
      <c r="G1" t="s">
        <v>121</v>
      </c>
      <c r="H1" t="s">
        <v>3</v>
      </c>
    </row>
    <row r="2" spans="1:8" x14ac:dyDescent="0.35">
      <c r="A2" t="s">
        <v>122</v>
      </c>
      <c r="B2" t="s">
        <v>59</v>
      </c>
      <c r="C2" t="s">
        <v>110</v>
      </c>
      <c r="D2" s="1" t="s">
        <v>123</v>
      </c>
      <c r="E2" s="1" t="str">
        <f>TEXT(D2,"mmm")</f>
        <v>Jun</v>
      </c>
      <c r="F2">
        <v>3</v>
      </c>
      <c r="G2" t="s">
        <v>124</v>
      </c>
      <c r="H2" t="str">
        <f>VLOOKUP(B2, Customers!A:D, 4, FALSE)</f>
        <v>Kisumu</v>
      </c>
    </row>
    <row r="3" spans="1:8" x14ac:dyDescent="0.35">
      <c r="A3" t="s">
        <v>125</v>
      </c>
      <c r="B3" t="s">
        <v>17</v>
      </c>
      <c r="C3" t="s">
        <v>106</v>
      </c>
      <c r="D3" s="1" t="s">
        <v>126</v>
      </c>
      <c r="E3" s="1" t="str">
        <f t="shared" ref="E3:E66" si="0">TEXT(D3,"mmm")</f>
        <v>Oct</v>
      </c>
      <c r="F3">
        <v>4</v>
      </c>
      <c r="G3" t="s">
        <v>127</v>
      </c>
      <c r="H3" s="5" t="str">
        <f>VLOOKUP(B3, Customers!A:D, 4, FALSE)</f>
        <v>Nairobi</v>
      </c>
    </row>
    <row r="4" spans="1:8" x14ac:dyDescent="0.35">
      <c r="A4" t="s">
        <v>128</v>
      </c>
      <c r="B4" t="s">
        <v>59</v>
      </c>
      <c r="C4" t="s">
        <v>106</v>
      </c>
      <c r="D4" s="1" t="s">
        <v>129</v>
      </c>
      <c r="E4" s="1" t="str">
        <f t="shared" si="0"/>
        <v>Jun</v>
      </c>
      <c r="F4">
        <v>2</v>
      </c>
      <c r="G4" t="s">
        <v>130</v>
      </c>
      <c r="H4" s="5" t="str">
        <f>VLOOKUP(B4, Customers!A:D, 4, FALSE)</f>
        <v>Kisumu</v>
      </c>
    </row>
    <row r="5" spans="1:8" x14ac:dyDescent="0.35">
      <c r="A5" t="s">
        <v>131</v>
      </c>
      <c r="B5" t="s">
        <v>49</v>
      </c>
      <c r="C5" t="s">
        <v>79</v>
      </c>
      <c r="D5" s="1" t="s">
        <v>132</v>
      </c>
      <c r="E5" s="1" t="str">
        <f t="shared" si="0"/>
        <v>Jun</v>
      </c>
      <c r="F5">
        <v>2</v>
      </c>
      <c r="G5" t="s">
        <v>127</v>
      </c>
      <c r="H5" s="5" t="str">
        <f>VLOOKUP(B5, Customers!A:D, 4, FALSE)</f>
        <v>Kisumu</v>
      </c>
    </row>
    <row r="6" spans="1:8" x14ac:dyDescent="0.35">
      <c r="A6" t="s">
        <v>133</v>
      </c>
      <c r="B6" t="s">
        <v>51</v>
      </c>
      <c r="C6" t="s">
        <v>85</v>
      </c>
      <c r="D6" s="1" t="s">
        <v>134</v>
      </c>
      <c r="E6" s="1" t="str">
        <f t="shared" si="0"/>
        <v>Sept</v>
      </c>
      <c r="F6">
        <v>3</v>
      </c>
      <c r="G6" t="s">
        <v>130</v>
      </c>
      <c r="H6" s="5" t="str">
        <f>VLOOKUP(B6, Customers!A:D, 4, FALSE)</f>
        <v>Eldoret</v>
      </c>
    </row>
    <row r="7" spans="1:8" x14ac:dyDescent="0.35">
      <c r="A7" t="s">
        <v>135</v>
      </c>
      <c r="B7" t="s">
        <v>13</v>
      </c>
      <c r="C7" t="s">
        <v>97</v>
      </c>
      <c r="D7" s="1" t="s">
        <v>136</v>
      </c>
      <c r="E7" s="1" t="str">
        <f t="shared" si="0"/>
        <v>Jan</v>
      </c>
      <c r="F7">
        <v>5</v>
      </c>
      <c r="G7" t="s">
        <v>130</v>
      </c>
      <c r="H7" s="5" t="str">
        <f>VLOOKUP(B7, Customers!A:D, 4, FALSE)</f>
        <v>Eldoret</v>
      </c>
    </row>
    <row r="8" spans="1:8" x14ac:dyDescent="0.35">
      <c r="A8" t="s">
        <v>137</v>
      </c>
      <c r="B8" t="s">
        <v>64</v>
      </c>
      <c r="C8" t="s">
        <v>112</v>
      </c>
      <c r="D8" s="1" t="s">
        <v>138</v>
      </c>
      <c r="E8" s="1" t="str">
        <f t="shared" si="0"/>
        <v>Mar</v>
      </c>
      <c r="F8">
        <v>4</v>
      </c>
      <c r="G8" t="s">
        <v>124</v>
      </c>
      <c r="H8" s="5" t="str">
        <f>VLOOKUP(B8, Customers!A:D, 4, FALSE)</f>
        <v>Nairobi</v>
      </c>
    </row>
    <row r="9" spans="1:8" x14ac:dyDescent="0.35">
      <c r="A9" t="s">
        <v>139</v>
      </c>
      <c r="B9" t="s">
        <v>60</v>
      </c>
      <c r="C9" t="s">
        <v>113</v>
      </c>
      <c r="D9" s="1" t="s">
        <v>140</v>
      </c>
      <c r="E9" s="1" t="str">
        <f t="shared" si="0"/>
        <v>Mar</v>
      </c>
      <c r="F9">
        <v>4</v>
      </c>
      <c r="G9" t="s">
        <v>130</v>
      </c>
      <c r="H9" s="5" t="str">
        <f>VLOOKUP(B9, Customers!A:D, 4, FALSE)</f>
        <v>Mombasa</v>
      </c>
    </row>
    <row r="10" spans="1:8" x14ac:dyDescent="0.35">
      <c r="A10" t="s">
        <v>141</v>
      </c>
      <c r="B10" t="s">
        <v>67</v>
      </c>
      <c r="C10" t="s">
        <v>103</v>
      </c>
      <c r="D10" s="1" t="s">
        <v>142</v>
      </c>
      <c r="E10" s="1" t="str">
        <f t="shared" si="0"/>
        <v>Jul</v>
      </c>
      <c r="F10">
        <v>2</v>
      </c>
      <c r="G10" t="s">
        <v>143</v>
      </c>
      <c r="H10" s="5" t="str">
        <f>VLOOKUP(B10, Customers!A:D, 4, FALSE)</f>
        <v>Nakuru</v>
      </c>
    </row>
    <row r="11" spans="1:8" x14ac:dyDescent="0.35">
      <c r="A11" t="s">
        <v>144</v>
      </c>
      <c r="B11" t="s">
        <v>66</v>
      </c>
      <c r="C11" t="s">
        <v>76</v>
      </c>
      <c r="D11" s="1" t="s">
        <v>145</v>
      </c>
      <c r="E11" s="1" t="str">
        <f t="shared" si="0"/>
        <v>Jan</v>
      </c>
      <c r="F11">
        <v>5</v>
      </c>
      <c r="G11" t="s">
        <v>130</v>
      </c>
      <c r="H11" s="5" t="str">
        <f>VLOOKUP(B11, Customers!A:D, 4, FALSE)</f>
        <v>Kisumu</v>
      </c>
    </row>
    <row r="12" spans="1:8" x14ac:dyDescent="0.35">
      <c r="A12" t="s">
        <v>146</v>
      </c>
      <c r="B12" t="s">
        <v>60</v>
      </c>
      <c r="C12" t="s">
        <v>82</v>
      </c>
      <c r="D12" s="1" t="s">
        <v>147</v>
      </c>
      <c r="E12" s="1" t="str">
        <f t="shared" si="0"/>
        <v>Mar</v>
      </c>
      <c r="F12">
        <v>3</v>
      </c>
      <c r="G12" t="s">
        <v>143</v>
      </c>
      <c r="H12" s="5" t="str">
        <f>VLOOKUP(B12, Customers!A:D, 4, FALSE)</f>
        <v>Mombasa</v>
      </c>
    </row>
    <row r="13" spans="1:8" x14ac:dyDescent="0.35">
      <c r="A13" t="s">
        <v>148</v>
      </c>
      <c r="B13" t="s">
        <v>57</v>
      </c>
      <c r="C13" t="s">
        <v>110</v>
      </c>
      <c r="D13" s="1" t="s">
        <v>149</v>
      </c>
      <c r="E13" s="1" t="str">
        <f t="shared" si="0"/>
        <v>Aug</v>
      </c>
      <c r="F13">
        <v>5</v>
      </c>
      <c r="G13" t="s">
        <v>130</v>
      </c>
      <c r="H13" s="5" t="str">
        <f>VLOOKUP(B13, Customers!A:D, 4, FALSE)</f>
        <v>Kisumu</v>
      </c>
    </row>
    <row r="14" spans="1:8" x14ac:dyDescent="0.35">
      <c r="A14" t="s">
        <v>150</v>
      </c>
      <c r="B14" t="s">
        <v>53</v>
      </c>
      <c r="C14" t="s">
        <v>105</v>
      </c>
      <c r="D14" s="1" t="s">
        <v>151</v>
      </c>
      <c r="E14" s="1" t="str">
        <f t="shared" si="0"/>
        <v>Apr</v>
      </c>
      <c r="F14">
        <v>3</v>
      </c>
      <c r="G14" t="s">
        <v>127</v>
      </c>
      <c r="H14" s="5" t="str">
        <f>VLOOKUP(B14, Customers!A:D, 4, FALSE)</f>
        <v>Mombasa</v>
      </c>
    </row>
    <row r="15" spans="1:8" x14ac:dyDescent="0.35">
      <c r="A15" t="s">
        <v>152</v>
      </c>
      <c r="B15" t="s">
        <v>50</v>
      </c>
      <c r="C15" t="s">
        <v>98</v>
      </c>
      <c r="D15" s="1" t="s">
        <v>153</v>
      </c>
      <c r="E15" s="1" t="str">
        <f t="shared" si="0"/>
        <v>Aug</v>
      </c>
      <c r="F15">
        <v>4</v>
      </c>
      <c r="G15" t="s">
        <v>127</v>
      </c>
      <c r="H15" s="5" t="str">
        <f>VLOOKUP(B15, Customers!A:D, 4, FALSE)</f>
        <v>Nairobi</v>
      </c>
    </row>
    <row r="16" spans="1:8" x14ac:dyDescent="0.35">
      <c r="A16" t="s">
        <v>154</v>
      </c>
      <c r="B16" t="s">
        <v>40</v>
      </c>
      <c r="C16" t="s">
        <v>83</v>
      </c>
      <c r="D16" s="1" t="s">
        <v>155</v>
      </c>
      <c r="E16" s="1" t="str">
        <f t="shared" si="0"/>
        <v>Nov</v>
      </c>
      <c r="F16">
        <v>5</v>
      </c>
      <c r="G16" t="s">
        <v>130</v>
      </c>
      <c r="H16" s="5" t="str">
        <f>VLOOKUP(B16, Customers!A:D, 4, FALSE)</f>
        <v>Mombasa</v>
      </c>
    </row>
    <row r="17" spans="1:8" x14ac:dyDescent="0.35">
      <c r="A17" t="s">
        <v>156</v>
      </c>
      <c r="B17" t="s">
        <v>36</v>
      </c>
      <c r="C17" t="s">
        <v>110</v>
      </c>
      <c r="D17" s="1" t="s">
        <v>157</v>
      </c>
      <c r="E17" s="1" t="str">
        <f t="shared" si="0"/>
        <v>Oct</v>
      </c>
      <c r="F17">
        <v>1</v>
      </c>
      <c r="G17" t="s">
        <v>127</v>
      </c>
      <c r="H17" s="5" t="str">
        <f>VLOOKUP(B17, Customers!A:D, 4, FALSE)</f>
        <v>Mombasa</v>
      </c>
    </row>
    <row r="18" spans="1:8" x14ac:dyDescent="0.35">
      <c r="A18" t="s">
        <v>158</v>
      </c>
      <c r="B18" t="s">
        <v>37</v>
      </c>
      <c r="C18" t="s">
        <v>117</v>
      </c>
      <c r="D18" s="1" t="s">
        <v>159</v>
      </c>
      <c r="E18" s="1" t="str">
        <f t="shared" si="0"/>
        <v>May</v>
      </c>
      <c r="F18">
        <v>5</v>
      </c>
      <c r="G18" t="s">
        <v>124</v>
      </c>
      <c r="H18" s="5" t="str">
        <f>VLOOKUP(B18, Customers!A:D, 4, FALSE)</f>
        <v>Kisumu</v>
      </c>
    </row>
    <row r="19" spans="1:8" x14ac:dyDescent="0.35">
      <c r="A19" t="s">
        <v>160</v>
      </c>
      <c r="B19" t="s">
        <v>7</v>
      </c>
      <c r="C19" t="s">
        <v>94</v>
      </c>
      <c r="D19" s="1" t="s">
        <v>161</v>
      </c>
      <c r="E19" s="1" t="str">
        <f t="shared" si="0"/>
        <v>Apr</v>
      </c>
      <c r="F19">
        <v>4</v>
      </c>
      <c r="G19" t="s">
        <v>127</v>
      </c>
      <c r="H19" s="5" t="str">
        <f>VLOOKUP(B19, Customers!A:D, 4, FALSE)</f>
        <v>Nakuru</v>
      </c>
    </row>
    <row r="20" spans="1:8" x14ac:dyDescent="0.35">
      <c r="A20" t="s">
        <v>162</v>
      </c>
      <c r="B20" t="s">
        <v>53</v>
      </c>
      <c r="C20" t="s">
        <v>99</v>
      </c>
      <c r="D20" s="1" t="s">
        <v>163</v>
      </c>
      <c r="E20" s="1" t="str">
        <f t="shared" si="0"/>
        <v>Mar</v>
      </c>
      <c r="F20">
        <v>5</v>
      </c>
      <c r="G20" t="s">
        <v>143</v>
      </c>
      <c r="H20" s="5" t="str">
        <f>VLOOKUP(B20, Customers!A:D, 4, FALSE)</f>
        <v>Mombasa</v>
      </c>
    </row>
    <row r="21" spans="1:8" x14ac:dyDescent="0.35">
      <c r="A21" t="s">
        <v>164</v>
      </c>
      <c r="B21" t="s">
        <v>4</v>
      </c>
      <c r="C21" t="s">
        <v>112</v>
      </c>
      <c r="D21" s="1" t="s">
        <v>165</v>
      </c>
      <c r="E21" s="1" t="str">
        <f t="shared" si="0"/>
        <v>Apr</v>
      </c>
      <c r="F21">
        <v>5</v>
      </c>
      <c r="G21" t="s">
        <v>124</v>
      </c>
      <c r="H21" s="5" t="str">
        <f>VLOOKUP(B21, Customers!A:D, 4, FALSE)</f>
        <v>Eldoret</v>
      </c>
    </row>
    <row r="22" spans="1:8" x14ac:dyDescent="0.35">
      <c r="A22" t="s">
        <v>166</v>
      </c>
      <c r="B22" t="s">
        <v>55</v>
      </c>
      <c r="C22" t="s">
        <v>117</v>
      </c>
      <c r="D22" s="1" t="s">
        <v>167</v>
      </c>
      <c r="E22" s="1" t="str">
        <f t="shared" si="0"/>
        <v>May</v>
      </c>
      <c r="F22">
        <v>5</v>
      </c>
      <c r="G22" t="s">
        <v>143</v>
      </c>
      <c r="H22" s="5" t="str">
        <f>VLOOKUP(B22, Customers!A:D, 4, FALSE)</f>
        <v>Kisumu</v>
      </c>
    </row>
    <row r="23" spans="1:8" x14ac:dyDescent="0.35">
      <c r="A23" t="s">
        <v>168</v>
      </c>
      <c r="B23" t="s">
        <v>32</v>
      </c>
      <c r="C23" t="s">
        <v>114</v>
      </c>
      <c r="D23" s="1" t="s">
        <v>169</v>
      </c>
      <c r="E23" s="1" t="str">
        <f t="shared" si="0"/>
        <v>May</v>
      </c>
      <c r="F23">
        <v>5</v>
      </c>
      <c r="G23" t="s">
        <v>124</v>
      </c>
      <c r="H23" s="5" t="str">
        <f>VLOOKUP(B23, Customers!A:D, 4, FALSE)</f>
        <v>Eldoret</v>
      </c>
    </row>
    <row r="24" spans="1:8" x14ac:dyDescent="0.35">
      <c r="A24" t="s">
        <v>170</v>
      </c>
      <c r="B24" t="s">
        <v>10</v>
      </c>
      <c r="C24" t="s">
        <v>114</v>
      </c>
      <c r="D24" s="1" t="s">
        <v>171</v>
      </c>
      <c r="E24" s="1" t="str">
        <f t="shared" si="0"/>
        <v>Apr</v>
      </c>
      <c r="F24">
        <v>2</v>
      </c>
      <c r="G24" t="s">
        <v>143</v>
      </c>
      <c r="H24" s="5" t="str">
        <f>VLOOKUP(B24, Customers!A:D, 4, FALSE)</f>
        <v>Nairobi</v>
      </c>
    </row>
    <row r="25" spans="1:8" x14ac:dyDescent="0.35">
      <c r="A25" t="s">
        <v>172</v>
      </c>
      <c r="B25" t="s">
        <v>32</v>
      </c>
      <c r="C25" t="s">
        <v>99</v>
      </c>
      <c r="D25" s="1" t="s">
        <v>173</v>
      </c>
      <c r="E25" s="1" t="str">
        <f t="shared" si="0"/>
        <v>Jun</v>
      </c>
      <c r="F25">
        <v>1</v>
      </c>
      <c r="G25" t="s">
        <v>127</v>
      </c>
      <c r="H25" s="5" t="str">
        <f>VLOOKUP(B25, Customers!A:D, 4, FALSE)</f>
        <v>Eldoret</v>
      </c>
    </row>
    <row r="26" spans="1:8" x14ac:dyDescent="0.35">
      <c r="A26" t="s">
        <v>174</v>
      </c>
      <c r="B26" t="s">
        <v>29</v>
      </c>
      <c r="C26" t="s">
        <v>114</v>
      </c>
      <c r="D26" s="1" t="s">
        <v>175</v>
      </c>
      <c r="E26" s="1" t="str">
        <f t="shared" si="0"/>
        <v>Jan</v>
      </c>
      <c r="F26">
        <v>1</v>
      </c>
      <c r="G26" t="s">
        <v>130</v>
      </c>
      <c r="H26" s="5" t="str">
        <f>VLOOKUP(B26, Customers!A:D, 4, FALSE)</f>
        <v>Mombasa</v>
      </c>
    </row>
    <row r="27" spans="1:8" x14ac:dyDescent="0.35">
      <c r="A27" t="s">
        <v>176</v>
      </c>
      <c r="B27" t="s">
        <v>22</v>
      </c>
      <c r="C27" t="s">
        <v>116</v>
      </c>
      <c r="D27" s="1" t="s">
        <v>177</v>
      </c>
      <c r="E27" s="1" t="str">
        <f t="shared" si="0"/>
        <v>Jan</v>
      </c>
      <c r="F27">
        <v>4</v>
      </c>
      <c r="G27" t="s">
        <v>143</v>
      </c>
      <c r="H27" s="5" t="str">
        <f>VLOOKUP(B27, Customers!A:D, 4, FALSE)</f>
        <v>Nairobi</v>
      </c>
    </row>
    <row r="28" spans="1:8" x14ac:dyDescent="0.35">
      <c r="A28" t="s">
        <v>178</v>
      </c>
      <c r="B28" t="s">
        <v>44</v>
      </c>
      <c r="C28" t="s">
        <v>96</v>
      </c>
      <c r="D28" s="1" t="s">
        <v>179</v>
      </c>
      <c r="E28" s="1" t="str">
        <f t="shared" si="0"/>
        <v>Aug</v>
      </c>
      <c r="F28">
        <v>4</v>
      </c>
      <c r="G28" t="s">
        <v>127</v>
      </c>
      <c r="H28" s="5" t="str">
        <f>VLOOKUP(B28, Customers!A:D, 4, FALSE)</f>
        <v>Mombasa</v>
      </c>
    </row>
    <row r="29" spans="1:8" x14ac:dyDescent="0.35">
      <c r="A29" t="s">
        <v>180</v>
      </c>
      <c r="B29" t="s">
        <v>32</v>
      </c>
      <c r="C29" t="s">
        <v>99</v>
      </c>
      <c r="D29" s="1" t="s">
        <v>181</v>
      </c>
      <c r="E29" s="1" t="str">
        <f t="shared" si="0"/>
        <v>Jul</v>
      </c>
      <c r="F29">
        <v>1</v>
      </c>
      <c r="G29" t="s">
        <v>127</v>
      </c>
      <c r="H29" s="5" t="str">
        <f>VLOOKUP(B29, Customers!A:D, 4, FALSE)</f>
        <v>Eldoret</v>
      </c>
    </row>
    <row r="30" spans="1:8" x14ac:dyDescent="0.35">
      <c r="A30" t="s">
        <v>182</v>
      </c>
      <c r="B30" t="s">
        <v>67</v>
      </c>
      <c r="C30" t="s">
        <v>113</v>
      </c>
      <c r="D30" s="1" t="s">
        <v>183</v>
      </c>
      <c r="E30" s="1" t="str">
        <f t="shared" si="0"/>
        <v>May</v>
      </c>
      <c r="F30">
        <v>5</v>
      </c>
      <c r="G30" t="s">
        <v>143</v>
      </c>
      <c r="H30" s="5" t="str">
        <f>VLOOKUP(B30, Customers!A:D, 4, FALSE)</f>
        <v>Nakuru</v>
      </c>
    </row>
    <row r="31" spans="1:8" x14ac:dyDescent="0.35">
      <c r="A31" t="s">
        <v>184</v>
      </c>
      <c r="B31" t="s">
        <v>41</v>
      </c>
      <c r="C31" t="s">
        <v>83</v>
      </c>
      <c r="D31" s="1" t="s">
        <v>185</v>
      </c>
      <c r="E31" s="1" t="str">
        <f t="shared" si="0"/>
        <v>Mar</v>
      </c>
      <c r="F31">
        <v>3</v>
      </c>
      <c r="G31" t="s">
        <v>127</v>
      </c>
      <c r="H31" s="5" t="str">
        <f>VLOOKUP(B31, Customers!A:D, 4, FALSE)</f>
        <v>Kisumu</v>
      </c>
    </row>
    <row r="32" spans="1:8" x14ac:dyDescent="0.35">
      <c r="A32" t="s">
        <v>186</v>
      </c>
      <c r="B32" t="s">
        <v>48</v>
      </c>
      <c r="C32" t="s">
        <v>88</v>
      </c>
      <c r="D32" s="1" t="s">
        <v>187</v>
      </c>
      <c r="E32" s="1" t="str">
        <f t="shared" si="0"/>
        <v>May</v>
      </c>
      <c r="F32">
        <v>5</v>
      </c>
      <c r="G32" t="s">
        <v>130</v>
      </c>
      <c r="H32" s="5" t="str">
        <f>VLOOKUP(B32, Customers!A:D, 4, FALSE)</f>
        <v>Mombasa</v>
      </c>
    </row>
    <row r="33" spans="1:8" x14ac:dyDescent="0.35">
      <c r="A33" t="s">
        <v>188</v>
      </c>
      <c r="B33" t="s">
        <v>7</v>
      </c>
      <c r="C33" t="s">
        <v>102</v>
      </c>
      <c r="D33" s="1" t="s">
        <v>189</v>
      </c>
      <c r="E33" s="1" t="str">
        <f t="shared" si="0"/>
        <v>Jan</v>
      </c>
      <c r="F33">
        <v>2</v>
      </c>
      <c r="G33" t="s">
        <v>130</v>
      </c>
      <c r="H33" s="5" t="str">
        <f>VLOOKUP(B33, Customers!A:D, 4, FALSE)</f>
        <v>Nakuru</v>
      </c>
    </row>
    <row r="34" spans="1:8" x14ac:dyDescent="0.35">
      <c r="A34" t="s">
        <v>190</v>
      </c>
      <c r="B34" t="s">
        <v>53</v>
      </c>
      <c r="C34" t="s">
        <v>112</v>
      </c>
      <c r="D34" s="1" t="s">
        <v>191</v>
      </c>
      <c r="E34" s="1" t="str">
        <f t="shared" si="0"/>
        <v>Aug</v>
      </c>
      <c r="F34">
        <v>4</v>
      </c>
      <c r="G34" t="s">
        <v>130</v>
      </c>
      <c r="H34" s="5" t="str">
        <f>VLOOKUP(B34, Customers!A:D, 4, FALSE)</f>
        <v>Mombasa</v>
      </c>
    </row>
    <row r="35" spans="1:8" x14ac:dyDescent="0.35">
      <c r="A35" t="s">
        <v>192</v>
      </c>
      <c r="B35" t="s">
        <v>66</v>
      </c>
      <c r="C35" t="s">
        <v>103</v>
      </c>
      <c r="D35" s="1" t="s">
        <v>193</v>
      </c>
      <c r="E35" s="1" t="str">
        <f t="shared" si="0"/>
        <v>Jul</v>
      </c>
      <c r="F35">
        <v>4</v>
      </c>
      <c r="G35" t="s">
        <v>130</v>
      </c>
      <c r="H35" s="5" t="str">
        <f>VLOOKUP(B35, Customers!A:D, 4, FALSE)</f>
        <v>Kisumu</v>
      </c>
    </row>
    <row r="36" spans="1:8" x14ac:dyDescent="0.35">
      <c r="A36" t="s">
        <v>194</v>
      </c>
      <c r="B36" t="s">
        <v>7</v>
      </c>
      <c r="C36" t="s">
        <v>91</v>
      </c>
      <c r="D36" s="1" t="s">
        <v>195</v>
      </c>
      <c r="E36" s="1" t="str">
        <f t="shared" si="0"/>
        <v>Aug</v>
      </c>
      <c r="F36">
        <v>5</v>
      </c>
      <c r="G36" t="s">
        <v>143</v>
      </c>
      <c r="H36" s="5" t="str">
        <f>VLOOKUP(B36, Customers!A:D, 4, FALSE)</f>
        <v>Nakuru</v>
      </c>
    </row>
    <row r="37" spans="1:8" x14ac:dyDescent="0.35">
      <c r="A37" t="s">
        <v>196</v>
      </c>
      <c r="B37" t="s">
        <v>61</v>
      </c>
      <c r="C37" t="s">
        <v>94</v>
      </c>
      <c r="D37" s="1" t="s">
        <v>197</v>
      </c>
      <c r="E37" s="1" t="str">
        <f t="shared" si="0"/>
        <v>Nov</v>
      </c>
      <c r="F37">
        <v>1</v>
      </c>
      <c r="G37" t="s">
        <v>143</v>
      </c>
      <c r="H37" s="5" t="str">
        <f>VLOOKUP(B37, Customers!A:D, 4, FALSE)</f>
        <v>Nairobi</v>
      </c>
    </row>
    <row r="38" spans="1:8" x14ac:dyDescent="0.35">
      <c r="A38" t="s">
        <v>198</v>
      </c>
      <c r="B38" t="s">
        <v>7</v>
      </c>
      <c r="C38" t="s">
        <v>82</v>
      </c>
      <c r="D38" s="1" t="s">
        <v>199</v>
      </c>
      <c r="E38" s="1" t="str">
        <f t="shared" si="0"/>
        <v>Oct</v>
      </c>
      <c r="F38">
        <v>5</v>
      </c>
      <c r="G38" t="s">
        <v>143</v>
      </c>
      <c r="H38" s="5" t="str">
        <f>VLOOKUP(B38, Customers!A:D, 4, FALSE)</f>
        <v>Nakuru</v>
      </c>
    </row>
    <row r="39" spans="1:8" x14ac:dyDescent="0.35">
      <c r="A39" t="s">
        <v>200</v>
      </c>
      <c r="B39" t="s">
        <v>28</v>
      </c>
      <c r="C39" t="s">
        <v>88</v>
      </c>
      <c r="D39" s="1" t="s">
        <v>142</v>
      </c>
      <c r="E39" s="1" t="str">
        <f t="shared" si="0"/>
        <v>Jul</v>
      </c>
      <c r="F39">
        <v>4</v>
      </c>
      <c r="G39" t="s">
        <v>143</v>
      </c>
      <c r="H39" s="5" t="str">
        <f>VLOOKUP(B39, Customers!A:D, 4, FALSE)</f>
        <v>Kisumu</v>
      </c>
    </row>
    <row r="40" spans="1:8" x14ac:dyDescent="0.35">
      <c r="A40" t="s">
        <v>201</v>
      </c>
      <c r="B40" t="s">
        <v>58</v>
      </c>
      <c r="C40" t="s">
        <v>98</v>
      </c>
      <c r="D40" s="1" t="s">
        <v>202</v>
      </c>
      <c r="E40" s="1" t="str">
        <f t="shared" si="0"/>
        <v>Feb</v>
      </c>
      <c r="F40">
        <v>3</v>
      </c>
      <c r="G40" t="s">
        <v>124</v>
      </c>
      <c r="H40" s="5" t="str">
        <f>VLOOKUP(B40, Customers!A:D, 4, FALSE)</f>
        <v>Nairobi</v>
      </c>
    </row>
    <row r="41" spans="1:8" x14ac:dyDescent="0.35">
      <c r="A41" t="s">
        <v>203</v>
      </c>
      <c r="B41" t="s">
        <v>53</v>
      </c>
      <c r="C41" t="s">
        <v>99</v>
      </c>
      <c r="D41" s="1" t="s">
        <v>204</v>
      </c>
      <c r="E41" s="1" t="str">
        <f t="shared" si="0"/>
        <v>Jun</v>
      </c>
      <c r="F41">
        <v>4</v>
      </c>
      <c r="G41" t="s">
        <v>124</v>
      </c>
      <c r="H41" s="5" t="str">
        <f>VLOOKUP(B41, Customers!A:D, 4, FALSE)</f>
        <v>Mombasa</v>
      </c>
    </row>
    <row r="42" spans="1:8" x14ac:dyDescent="0.35">
      <c r="A42" t="s">
        <v>205</v>
      </c>
      <c r="B42" t="s">
        <v>35</v>
      </c>
      <c r="C42" t="s">
        <v>93</v>
      </c>
      <c r="D42" s="1" t="s">
        <v>206</v>
      </c>
      <c r="E42" s="1" t="str">
        <f t="shared" si="0"/>
        <v>Feb</v>
      </c>
      <c r="F42">
        <v>1</v>
      </c>
      <c r="G42" t="s">
        <v>130</v>
      </c>
      <c r="H42" s="5" t="str">
        <f>VLOOKUP(B42, Customers!A:D, 4, FALSE)</f>
        <v>Nairobi</v>
      </c>
    </row>
    <row r="43" spans="1:8" x14ac:dyDescent="0.35">
      <c r="A43" t="s">
        <v>207</v>
      </c>
      <c r="B43" t="s">
        <v>50</v>
      </c>
      <c r="C43" t="s">
        <v>82</v>
      </c>
      <c r="D43" s="1" t="s">
        <v>208</v>
      </c>
      <c r="E43" s="1" t="str">
        <f t="shared" si="0"/>
        <v>Nov</v>
      </c>
      <c r="F43">
        <v>1</v>
      </c>
      <c r="G43" t="s">
        <v>124</v>
      </c>
      <c r="H43" s="5" t="str">
        <f>VLOOKUP(B43, Customers!A:D, 4, FALSE)</f>
        <v>Nairobi</v>
      </c>
    </row>
    <row r="44" spans="1:8" x14ac:dyDescent="0.35">
      <c r="A44" t="s">
        <v>209</v>
      </c>
      <c r="B44" t="s">
        <v>40</v>
      </c>
      <c r="C44" t="s">
        <v>109</v>
      </c>
      <c r="D44" s="1" t="s">
        <v>210</v>
      </c>
      <c r="E44" s="1" t="str">
        <f t="shared" si="0"/>
        <v>Dec</v>
      </c>
      <c r="F44">
        <v>2</v>
      </c>
      <c r="G44" t="s">
        <v>143</v>
      </c>
      <c r="H44" s="5" t="str">
        <f>VLOOKUP(B44, Customers!A:D, 4, FALSE)</f>
        <v>Mombasa</v>
      </c>
    </row>
    <row r="45" spans="1:8" x14ac:dyDescent="0.35">
      <c r="A45" t="s">
        <v>211</v>
      </c>
      <c r="B45" t="s">
        <v>54</v>
      </c>
      <c r="C45" t="s">
        <v>79</v>
      </c>
      <c r="D45" s="1" t="s">
        <v>212</v>
      </c>
      <c r="E45" s="1" t="str">
        <f t="shared" si="0"/>
        <v>Apr</v>
      </c>
      <c r="F45">
        <v>1</v>
      </c>
      <c r="G45" t="s">
        <v>127</v>
      </c>
      <c r="H45" s="5" t="str">
        <f>VLOOKUP(B45, Customers!A:D, 4, FALSE)</f>
        <v>Eldoret</v>
      </c>
    </row>
    <row r="46" spans="1:8" x14ac:dyDescent="0.35">
      <c r="A46" t="s">
        <v>213</v>
      </c>
      <c r="B46" t="s">
        <v>61</v>
      </c>
      <c r="C46" t="s">
        <v>117</v>
      </c>
      <c r="D46" s="1" t="s">
        <v>214</v>
      </c>
      <c r="E46" s="1" t="str">
        <f t="shared" si="0"/>
        <v>Jun</v>
      </c>
      <c r="F46">
        <v>3</v>
      </c>
      <c r="G46" t="s">
        <v>130</v>
      </c>
      <c r="H46" s="5" t="str">
        <f>VLOOKUP(B46, Customers!A:D, 4, FALSE)</f>
        <v>Nairobi</v>
      </c>
    </row>
    <row r="47" spans="1:8" x14ac:dyDescent="0.35">
      <c r="A47" t="s">
        <v>215</v>
      </c>
      <c r="B47" t="s">
        <v>46</v>
      </c>
      <c r="C47" t="s">
        <v>112</v>
      </c>
      <c r="D47" s="1" t="s">
        <v>216</v>
      </c>
      <c r="E47" s="1" t="str">
        <f t="shared" si="0"/>
        <v>Sept</v>
      </c>
      <c r="F47">
        <v>2</v>
      </c>
      <c r="G47" t="s">
        <v>143</v>
      </c>
      <c r="H47" s="5" t="str">
        <f>VLOOKUP(B47, Customers!A:D, 4, FALSE)</f>
        <v>Mombasa</v>
      </c>
    </row>
    <row r="48" spans="1:8" x14ac:dyDescent="0.35">
      <c r="A48" t="s">
        <v>217</v>
      </c>
      <c r="B48" t="s">
        <v>39</v>
      </c>
      <c r="C48" t="s">
        <v>98</v>
      </c>
      <c r="D48" s="1" t="s">
        <v>218</v>
      </c>
      <c r="E48" s="1" t="str">
        <f t="shared" si="0"/>
        <v>Jun</v>
      </c>
      <c r="F48">
        <v>5</v>
      </c>
      <c r="G48" t="s">
        <v>130</v>
      </c>
      <c r="H48" s="5" t="str">
        <f>VLOOKUP(B48, Customers!A:D, 4, FALSE)</f>
        <v>Nakuru</v>
      </c>
    </row>
    <row r="49" spans="1:8" x14ac:dyDescent="0.35">
      <c r="A49" t="s">
        <v>219</v>
      </c>
      <c r="B49" t="s">
        <v>64</v>
      </c>
      <c r="C49" t="s">
        <v>114</v>
      </c>
      <c r="D49" s="1" t="s">
        <v>175</v>
      </c>
      <c r="E49" s="1" t="str">
        <f t="shared" si="0"/>
        <v>Jan</v>
      </c>
      <c r="F49">
        <v>5</v>
      </c>
      <c r="G49" t="s">
        <v>127</v>
      </c>
      <c r="H49" s="5" t="str">
        <f>VLOOKUP(B49, Customers!A:D, 4, FALSE)</f>
        <v>Nairobi</v>
      </c>
    </row>
    <row r="50" spans="1:8" x14ac:dyDescent="0.35">
      <c r="A50" t="s">
        <v>220</v>
      </c>
      <c r="B50" t="s">
        <v>32</v>
      </c>
      <c r="C50" t="s">
        <v>91</v>
      </c>
      <c r="D50" s="1" t="s">
        <v>214</v>
      </c>
      <c r="E50" s="1" t="str">
        <f t="shared" si="0"/>
        <v>Jun</v>
      </c>
      <c r="F50">
        <v>5</v>
      </c>
      <c r="G50" t="s">
        <v>127</v>
      </c>
      <c r="H50" s="5" t="str">
        <f>VLOOKUP(B50, Customers!A:D, 4, FALSE)</f>
        <v>Eldoret</v>
      </c>
    </row>
    <row r="51" spans="1:8" x14ac:dyDescent="0.35">
      <c r="A51" t="s">
        <v>221</v>
      </c>
      <c r="B51" t="s">
        <v>35</v>
      </c>
      <c r="C51" t="s">
        <v>117</v>
      </c>
      <c r="D51" s="1" t="s">
        <v>222</v>
      </c>
      <c r="E51" s="1" t="str">
        <f t="shared" si="0"/>
        <v>Aug</v>
      </c>
      <c r="F51">
        <v>3</v>
      </c>
      <c r="G51" t="s">
        <v>143</v>
      </c>
      <c r="H51" s="5" t="str">
        <f>VLOOKUP(B51, Customers!A:D, 4, FALSE)</f>
        <v>Nairobi</v>
      </c>
    </row>
    <row r="52" spans="1:8" x14ac:dyDescent="0.35">
      <c r="A52" t="s">
        <v>223</v>
      </c>
      <c r="B52" t="s">
        <v>61</v>
      </c>
      <c r="C52" t="s">
        <v>112</v>
      </c>
      <c r="D52" s="1" t="s">
        <v>224</v>
      </c>
      <c r="E52" s="1" t="str">
        <f t="shared" si="0"/>
        <v>Apr</v>
      </c>
      <c r="F52">
        <v>2</v>
      </c>
      <c r="G52" t="s">
        <v>130</v>
      </c>
      <c r="H52" s="5" t="str">
        <f>VLOOKUP(B52, Customers!A:D, 4, FALSE)</f>
        <v>Nairobi</v>
      </c>
    </row>
    <row r="53" spans="1:8" x14ac:dyDescent="0.35">
      <c r="A53" t="s">
        <v>225</v>
      </c>
      <c r="B53" t="s">
        <v>67</v>
      </c>
      <c r="C53" t="s">
        <v>83</v>
      </c>
      <c r="D53" s="1" t="s">
        <v>226</v>
      </c>
      <c r="E53" s="1" t="str">
        <f t="shared" si="0"/>
        <v>Feb</v>
      </c>
      <c r="F53">
        <v>4</v>
      </c>
      <c r="G53" t="s">
        <v>124</v>
      </c>
      <c r="H53" s="5" t="str">
        <f>VLOOKUP(B53, Customers!A:D, 4, FALSE)</f>
        <v>Nakuru</v>
      </c>
    </row>
    <row r="54" spans="1:8" x14ac:dyDescent="0.35">
      <c r="A54" t="s">
        <v>227</v>
      </c>
      <c r="B54" t="s">
        <v>67</v>
      </c>
      <c r="C54" t="s">
        <v>103</v>
      </c>
      <c r="D54" s="1" t="s">
        <v>228</v>
      </c>
      <c r="E54" s="1" t="str">
        <f t="shared" si="0"/>
        <v>Jan</v>
      </c>
      <c r="F54">
        <v>3</v>
      </c>
      <c r="G54" t="s">
        <v>127</v>
      </c>
      <c r="H54" s="5" t="str">
        <f>VLOOKUP(B54, Customers!A:D, 4, FALSE)</f>
        <v>Nakuru</v>
      </c>
    </row>
    <row r="55" spans="1:8" x14ac:dyDescent="0.35">
      <c r="A55" t="s">
        <v>229</v>
      </c>
      <c r="B55" t="s">
        <v>47</v>
      </c>
      <c r="C55" t="s">
        <v>116</v>
      </c>
      <c r="D55" s="1" t="s">
        <v>230</v>
      </c>
      <c r="E55" s="1" t="str">
        <f t="shared" si="0"/>
        <v>Sept</v>
      </c>
      <c r="F55">
        <v>2</v>
      </c>
      <c r="G55" t="s">
        <v>130</v>
      </c>
      <c r="H55" s="5" t="str">
        <f>VLOOKUP(B55, Customers!A:D, 4, FALSE)</f>
        <v>Nairobi</v>
      </c>
    </row>
    <row r="56" spans="1:8" x14ac:dyDescent="0.35">
      <c r="A56" t="s">
        <v>231</v>
      </c>
      <c r="B56" t="s">
        <v>62</v>
      </c>
      <c r="C56" t="s">
        <v>79</v>
      </c>
      <c r="D56" s="1" t="s">
        <v>232</v>
      </c>
      <c r="E56" s="1" t="str">
        <f t="shared" si="0"/>
        <v>Feb</v>
      </c>
      <c r="F56">
        <v>1</v>
      </c>
      <c r="G56" t="s">
        <v>143</v>
      </c>
      <c r="H56" s="5" t="str">
        <f>VLOOKUP(B56, Customers!A:D, 4, FALSE)</f>
        <v>Nakuru</v>
      </c>
    </row>
    <row r="57" spans="1:8" x14ac:dyDescent="0.35">
      <c r="A57" t="s">
        <v>233</v>
      </c>
      <c r="B57" t="s">
        <v>59</v>
      </c>
      <c r="C57" t="s">
        <v>110</v>
      </c>
      <c r="D57" s="1" t="s">
        <v>234</v>
      </c>
      <c r="E57" s="1" t="str">
        <f t="shared" si="0"/>
        <v>May</v>
      </c>
      <c r="F57">
        <v>3</v>
      </c>
      <c r="G57" t="s">
        <v>143</v>
      </c>
      <c r="H57" s="5" t="str">
        <f>VLOOKUP(B57, Customers!A:D, 4, FALSE)</f>
        <v>Kisumu</v>
      </c>
    </row>
    <row r="58" spans="1:8" x14ac:dyDescent="0.35">
      <c r="A58" t="s">
        <v>235</v>
      </c>
      <c r="B58" t="s">
        <v>29</v>
      </c>
      <c r="C58" t="s">
        <v>105</v>
      </c>
      <c r="D58" s="1" t="s">
        <v>236</v>
      </c>
      <c r="E58" s="1" t="str">
        <f t="shared" si="0"/>
        <v>May</v>
      </c>
      <c r="F58">
        <v>3</v>
      </c>
      <c r="G58" t="s">
        <v>143</v>
      </c>
      <c r="H58" s="5" t="str">
        <f>VLOOKUP(B58, Customers!A:D, 4, FALSE)</f>
        <v>Mombasa</v>
      </c>
    </row>
    <row r="59" spans="1:8" x14ac:dyDescent="0.35">
      <c r="A59" t="s">
        <v>237</v>
      </c>
      <c r="B59" t="s">
        <v>39</v>
      </c>
      <c r="C59" t="s">
        <v>97</v>
      </c>
      <c r="D59" s="1" t="s">
        <v>238</v>
      </c>
      <c r="E59" s="1" t="str">
        <f t="shared" si="0"/>
        <v>Apr</v>
      </c>
      <c r="F59">
        <v>4</v>
      </c>
      <c r="G59" t="s">
        <v>143</v>
      </c>
      <c r="H59" s="5" t="str">
        <f>VLOOKUP(B59, Customers!A:D, 4, FALSE)</f>
        <v>Nakuru</v>
      </c>
    </row>
    <row r="60" spans="1:8" x14ac:dyDescent="0.35">
      <c r="A60" t="s">
        <v>239</v>
      </c>
      <c r="B60" t="s">
        <v>62</v>
      </c>
      <c r="C60" t="s">
        <v>117</v>
      </c>
      <c r="D60" s="1" t="s">
        <v>240</v>
      </c>
      <c r="E60" s="1" t="str">
        <f t="shared" si="0"/>
        <v>Jun</v>
      </c>
      <c r="F60">
        <v>2</v>
      </c>
      <c r="G60" t="s">
        <v>124</v>
      </c>
      <c r="H60" s="5" t="str">
        <f>VLOOKUP(B60, Customers!A:D, 4, FALSE)</f>
        <v>Nakuru</v>
      </c>
    </row>
    <row r="61" spans="1:8" x14ac:dyDescent="0.35">
      <c r="A61" t="s">
        <v>241</v>
      </c>
      <c r="B61" t="s">
        <v>28</v>
      </c>
      <c r="C61" t="s">
        <v>109</v>
      </c>
      <c r="D61" s="1" t="s">
        <v>169</v>
      </c>
      <c r="E61" s="1" t="str">
        <f t="shared" si="0"/>
        <v>May</v>
      </c>
      <c r="F61">
        <v>1</v>
      </c>
      <c r="G61" t="s">
        <v>127</v>
      </c>
      <c r="H61" s="5" t="str">
        <f>VLOOKUP(B61, Customers!A:D, 4, FALSE)</f>
        <v>Kisumu</v>
      </c>
    </row>
    <row r="62" spans="1:8" x14ac:dyDescent="0.35">
      <c r="A62" t="s">
        <v>242</v>
      </c>
      <c r="B62" t="s">
        <v>31</v>
      </c>
      <c r="C62" t="s">
        <v>91</v>
      </c>
      <c r="D62" s="1" t="s">
        <v>123</v>
      </c>
      <c r="E62" s="1" t="str">
        <f t="shared" si="0"/>
        <v>Jun</v>
      </c>
      <c r="F62">
        <v>5</v>
      </c>
      <c r="G62" t="s">
        <v>124</v>
      </c>
      <c r="H62" s="5" t="str">
        <f>VLOOKUP(B62, Customers!A:D, 4, FALSE)</f>
        <v>Nairobi</v>
      </c>
    </row>
    <row r="63" spans="1:8" x14ac:dyDescent="0.35">
      <c r="A63" t="s">
        <v>243</v>
      </c>
      <c r="B63" t="s">
        <v>46</v>
      </c>
      <c r="C63" t="s">
        <v>94</v>
      </c>
      <c r="D63" s="1" t="s">
        <v>244</v>
      </c>
      <c r="E63" s="1" t="str">
        <f t="shared" si="0"/>
        <v>Feb</v>
      </c>
      <c r="F63">
        <v>2</v>
      </c>
      <c r="G63" t="s">
        <v>124</v>
      </c>
      <c r="H63" s="5" t="str">
        <f>VLOOKUP(B63, Customers!A:D, 4, FALSE)</f>
        <v>Mombasa</v>
      </c>
    </row>
    <row r="64" spans="1:8" x14ac:dyDescent="0.35">
      <c r="A64" t="s">
        <v>245</v>
      </c>
      <c r="B64" t="s">
        <v>53</v>
      </c>
      <c r="C64" t="s">
        <v>98</v>
      </c>
      <c r="D64" s="1" t="s">
        <v>246</v>
      </c>
      <c r="E64" s="1" t="str">
        <f t="shared" si="0"/>
        <v>Jun</v>
      </c>
      <c r="F64">
        <v>1</v>
      </c>
      <c r="G64" t="s">
        <v>124</v>
      </c>
      <c r="H64" s="5" t="str">
        <f>VLOOKUP(B64, Customers!A:D, 4, FALSE)</f>
        <v>Mombasa</v>
      </c>
    </row>
    <row r="65" spans="1:8" x14ac:dyDescent="0.35">
      <c r="A65" t="s">
        <v>247</v>
      </c>
      <c r="B65" t="s">
        <v>53</v>
      </c>
      <c r="C65" t="s">
        <v>111</v>
      </c>
      <c r="D65" s="1" t="s">
        <v>248</v>
      </c>
      <c r="E65" s="1" t="str">
        <f t="shared" si="0"/>
        <v>Apr</v>
      </c>
      <c r="F65">
        <v>3</v>
      </c>
      <c r="G65" t="s">
        <v>130</v>
      </c>
      <c r="H65" s="5" t="str">
        <f>VLOOKUP(B65, Customers!A:D, 4, FALSE)</f>
        <v>Mombasa</v>
      </c>
    </row>
    <row r="66" spans="1:8" x14ac:dyDescent="0.35">
      <c r="A66" t="s">
        <v>249</v>
      </c>
      <c r="B66" t="s">
        <v>24</v>
      </c>
      <c r="C66" t="s">
        <v>109</v>
      </c>
      <c r="D66" s="1" t="s">
        <v>222</v>
      </c>
      <c r="E66" s="1" t="str">
        <f t="shared" si="0"/>
        <v>Aug</v>
      </c>
      <c r="F66">
        <v>2</v>
      </c>
      <c r="G66" t="s">
        <v>143</v>
      </c>
      <c r="H66" s="5" t="str">
        <f>VLOOKUP(B66, Customers!A:D, 4, FALSE)</f>
        <v>Nairobi</v>
      </c>
    </row>
    <row r="67" spans="1:8" x14ac:dyDescent="0.35">
      <c r="A67" t="s">
        <v>250</v>
      </c>
      <c r="B67" t="s">
        <v>45</v>
      </c>
      <c r="C67" t="s">
        <v>109</v>
      </c>
      <c r="D67" s="1" t="s">
        <v>251</v>
      </c>
      <c r="E67" s="1" t="str">
        <f t="shared" ref="E67:E101" si="1">TEXT(D67,"mmm")</f>
        <v>Jun</v>
      </c>
      <c r="F67">
        <v>5</v>
      </c>
      <c r="G67" t="s">
        <v>130</v>
      </c>
      <c r="H67" s="5" t="str">
        <f>VLOOKUP(B67, Customers!A:D, 4, FALSE)</f>
        <v>Mombasa</v>
      </c>
    </row>
    <row r="68" spans="1:8" x14ac:dyDescent="0.35">
      <c r="A68" t="s">
        <v>252</v>
      </c>
      <c r="B68" t="s">
        <v>65</v>
      </c>
      <c r="C68" t="s">
        <v>73</v>
      </c>
      <c r="D68" s="1" t="s">
        <v>253</v>
      </c>
      <c r="E68" s="1" t="str">
        <f t="shared" si="1"/>
        <v>Nov</v>
      </c>
      <c r="F68">
        <v>1</v>
      </c>
      <c r="G68" t="s">
        <v>130</v>
      </c>
      <c r="H68" s="5" t="str">
        <f>VLOOKUP(B68, Customers!A:D, 4, FALSE)</f>
        <v>Nairobi</v>
      </c>
    </row>
    <row r="69" spans="1:8" x14ac:dyDescent="0.35">
      <c r="A69" t="s">
        <v>254</v>
      </c>
      <c r="B69" t="s">
        <v>20</v>
      </c>
      <c r="C69" t="s">
        <v>100</v>
      </c>
      <c r="D69" s="1" t="s">
        <v>255</v>
      </c>
      <c r="E69" s="1" t="str">
        <f t="shared" si="1"/>
        <v>Mar</v>
      </c>
      <c r="F69">
        <v>4</v>
      </c>
      <c r="G69" t="s">
        <v>124</v>
      </c>
      <c r="H69" s="5" t="str">
        <f>VLOOKUP(B69, Customers!A:D, 4, FALSE)</f>
        <v>Nairobi</v>
      </c>
    </row>
    <row r="70" spans="1:8" x14ac:dyDescent="0.35">
      <c r="A70" t="s">
        <v>256</v>
      </c>
      <c r="B70" t="s">
        <v>17</v>
      </c>
      <c r="C70" t="s">
        <v>110</v>
      </c>
      <c r="D70" s="1" t="s">
        <v>151</v>
      </c>
      <c r="E70" s="1" t="str">
        <f t="shared" si="1"/>
        <v>Apr</v>
      </c>
      <c r="F70">
        <v>4</v>
      </c>
      <c r="G70" t="s">
        <v>130</v>
      </c>
      <c r="H70" s="5" t="str">
        <f>VLOOKUP(B70, Customers!A:D, 4, FALSE)</f>
        <v>Nairobi</v>
      </c>
    </row>
    <row r="71" spans="1:8" x14ac:dyDescent="0.35">
      <c r="A71" t="s">
        <v>257</v>
      </c>
      <c r="B71" t="s">
        <v>44</v>
      </c>
      <c r="C71" t="s">
        <v>96</v>
      </c>
      <c r="D71" s="1" t="s">
        <v>258</v>
      </c>
      <c r="E71" s="1" t="str">
        <f t="shared" si="1"/>
        <v>Mar</v>
      </c>
      <c r="F71">
        <v>2</v>
      </c>
      <c r="G71" t="s">
        <v>127</v>
      </c>
      <c r="H71" s="5" t="str">
        <f>VLOOKUP(B71, Customers!A:D, 4, FALSE)</f>
        <v>Mombasa</v>
      </c>
    </row>
    <row r="72" spans="1:8" x14ac:dyDescent="0.35">
      <c r="A72" t="s">
        <v>259</v>
      </c>
      <c r="B72" t="s">
        <v>13</v>
      </c>
      <c r="C72" t="s">
        <v>103</v>
      </c>
      <c r="D72" s="1" t="s">
        <v>260</v>
      </c>
      <c r="E72" s="1" t="str">
        <f t="shared" si="1"/>
        <v>Oct</v>
      </c>
      <c r="F72">
        <v>3</v>
      </c>
      <c r="G72" t="s">
        <v>124</v>
      </c>
      <c r="H72" s="5" t="str">
        <f>VLOOKUP(B72, Customers!A:D, 4, FALSE)</f>
        <v>Eldoret</v>
      </c>
    </row>
    <row r="73" spans="1:8" x14ac:dyDescent="0.35">
      <c r="A73" t="s">
        <v>261</v>
      </c>
      <c r="B73" t="s">
        <v>41</v>
      </c>
      <c r="C73" t="s">
        <v>76</v>
      </c>
      <c r="D73" s="1" t="s">
        <v>195</v>
      </c>
      <c r="E73" s="1" t="str">
        <f t="shared" si="1"/>
        <v>Aug</v>
      </c>
      <c r="F73">
        <v>1</v>
      </c>
      <c r="G73" t="s">
        <v>130</v>
      </c>
      <c r="H73" s="5" t="str">
        <f>VLOOKUP(B73, Customers!A:D, 4, FALSE)</f>
        <v>Kisumu</v>
      </c>
    </row>
    <row r="74" spans="1:8" x14ac:dyDescent="0.35">
      <c r="A74" t="s">
        <v>262</v>
      </c>
      <c r="B74" t="s">
        <v>43</v>
      </c>
      <c r="C74" t="s">
        <v>82</v>
      </c>
      <c r="D74" s="1" t="s">
        <v>263</v>
      </c>
      <c r="E74" s="1" t="str">
        <f t="shared" si="1"/>
        <v>May</v>
      </c>
      <c r="F74">
        <v>5</v>
      </c>
      <c r="G74" t="s">
        <v>143</v>
      </c>
      <c r="H74" s="5" t="str">
        <f>VLOOKUP(B74, Customers!A:D, 4, FALSE)</f>
        <v>Nairobi</v>
      </c>
    </row>
    <row r="75" spans="1:8" x14ac:dyDescent="0.35">
      <c r="A75" t="s">
        <v>264</v>
      </c>
      <c r="B75" t="s">
        <v>59</v>
      </c>
      <c r="C75" t="s">
        <v>116</v>
      </c>
      <c r="D75" s="1" t="s">
        <v>265</v>
      </c>
      <c r="E75" s="1" t="str">
        <f t="shared" si="1"/>
        <v>Jul</v>
      </c>
      <c r="F75">
        <v>4</v>
      </c>
      <c r="G75" t="s">
        <v>130</v>
      </c>
      <c r="H75" s="5" t="str">
        <f>VLOOKUP(B75, Customers!A:D, 4, FALSE)</f>
        <v>Kisumu</v>
      </c>
    </row>
    <row r="76" spans="1:8" x14ac:dyDescent="0.35">
      <c r="A76" t="s">
        <v>266</v>
      </c>
      <c r="B76" t="s">
        <v>50</v>
      </c>
      <c r="C76" t="s">
        <v>82</v>
      </c>
      <c r="D76" s="1" t="s">
        <v>267</v>
      </c>
      <c r="E76" s="1" t="str">
        <f t="shared" si="1"/>
        <v>Jan</v>
      </c>
      <c r="F76">
        <v>3</v>
      </c>
      <c r="G76" t="s">
        <v>143</v>
      </c>
      <c r="H76" s="5" t="str">
        <f>VLOOKUP(B76, Customers!A:D, 4, FALSE)</f>
        <v>Nairobi</v>
      </c>
    </row>
    <row r="77" spans="1:8" x14ac:dyDescent="0.35">
      <c r="A77" t="s">
        <v>268</v>
      </c>
      <c r="B77" t="s">
        <v>58</v>
      </c>
      <c r="C77" t="s">
        <v>98</v>
      </c>
      <c r="D77" s="1" t="s">
        <v>269</v>
      </c>
      <c r="E77" s="1" t="str">
        <f t="shared" si="1"/>
        <v>Feb</v>
      </c>
      <c r="F77">
        <v>1</v>
      </c>
      <c r="G77" t="s">
        <v>130</v>
      </c>
      <c r="H77" s="5" t="str">
        <f>VLOOKUP(B77, Customers!A:D, 4, FALSE)</f>
        <v>Nairobi</v>
      </c>
    </row>
    <row r="78" spans="1:8" x14ac:dyDescent="0.35">
      <c r="A78" t="s">
        <v>270</v>
      </c>
      <c r="B78" t="s">
        <v>36</v>
      </c>
      <c r="C78" t="s">
        <v>82</v>
      </c>
      <c r="D78" s="1" t="s">
        <v>271</v>
      </c>
      <c r="E78" s="1" t="str">
        <f t="shared" si="1"/>
        <v>Apr</v>
      </c>
      <c r="F78">
        <v>3</v>
      </c>
      <c r="G78" t="s">
        <v>130</v>
      </c>
      <c r="H78" s="5" t="str">
        <f>VLOOKUP(B78, Customers!A:D, 4, FALSE)</f>
        <v>Mombasa</v>
      </c>
    </row>
    <row r="79" spans="1:8" x14ac:dyDescent="0.35">
      <c r="A79" t="s">
        <v>272</v>
      </c>
      <c r="B79" t="s">
        <v>62</v>
      </c>
      <c r="C79" t="s">
        <v>105</v>
      </c>
      <c r="D79" s="1" t="s">
        <v>273</v>
      </c>
      <c r="E79" s="1" t="str">
        <f t="shared" si="1"/>
        <v>Jan</v>
      </c>
      <c r="F79">
        <v>2</v>
      </c>
      <c r="G79" t="s">
        <v>143</v>
      </c>
      <c r="H79" s="5" t="str">
        <f>VLOOKUP(B79, Customers!A:D, 4, FALSE)</f>
        <v>Nakuru</v>
      </c>
    </row>
    <row r="80" spans="1:8" x14ac:dyDescent="0.35">
      <c r="A80" t="s">
        <v>274</v>
      </c>
      <c r="B80" t="s">
        <v>19</v>
      </c>
      <c r="C80" t="s">
        <v>82</v>
      </c>
      <c r="D80" s="1" t="s">
        <v>275</v>
      </c>
      <c r="E80" s="1" t="str">
        <f t="shared" si="1"/>
        <v>Oct</v>
      </c>
      <c r="F80">
        <v>3</v>
      </c>
      <c r="G80" t="s">
        <v>143</v>
      </c>
      <c r="H80" s="5" t="str">
        <f>VLOOKUP(B80, Customers!A:D, 4, FALSE)</f>
        <v>Kisumu</v>
      </c>
    </row>
    <row r="81" spans="1:8" x14ac:dyDescent="0.35">
      <c r="A81" t="s">
        <v>276</v>
      </c>
      <c r="B81" t="s">
        <v>68</v>
      </c>
      <c r="C81" t="s">
        <v>96</v>
      </c>
      <c r="D81" s="1" t="s">
        <v>277</v>
      </c>
      <c r="E81" s="1" t="str">
        <f t="shared" si="1"/>
        <v>Aug</v>
      </c>
      <c r="F81">
        <v>3</v>
      </c>
      <c r="G81" t="s">
        <v>143</v>
      </c>
      <c r="H81" s="5" t="str">
        <f>VLOOKUP(B81, Customers!A:D, 4, FALSE)</f>
        <v>Nairobi</v>
      </c>
    </row>
    <row r="82" spans="1:8" x14ac:dyDescent="0.35">
      <c r="A82" t="s">
        <v>278</v>
      </c>
      <c r="B82" t="s">
        <v>13</v>
      </c>
      <c r="C82" t="s">
        <v>94</v>
      </c>
      <c r="D82" s="1" t="s">
        <v>279</v>
      </c>
      <c r="E82" s="1" t="str">
        <f t="shared" si="1"/>
        <v>Mar</v>
      </c>
      <c r="F82">
        <v>3</v>
      </c>
      <c r="G82" t="s">
        <v>127</v>
      </c>
      <c r="H82" s="5" t="str">
        <f>VLOOKUP(B82, Customers!A:D, 4, FALSE)</f>
        <v>Eldoret</v>
      </c>
    </row>
    <row r="83" spans="1:8" x14ac:dyDescent="0.35">
      <c r="A83" t="s">
        <v>280</v>
      </c>
      <c r="B83" t="s">
        <v>47</v>
      </c>
      <c r="C83" t="s">
        <v>82</v>
      </c>
      <c r="D83" s="1" t="s">
        <v>281</v>
      </c>
      <c r="E83" s="1" t="str">
        <f t="shared" si="1"/>
        <v>Jan</v>
      </c>
      <c r="F83">
        <v>3</v>
      </c>
      <c r="G83" t="s">
        <v>124</v>
      </c>
      <c r="H83" s="5" t="str">
        <f>VLOOKUP(B83, Customers!A:D, 4, FALSE)</f>
        <v>Nairobi</v>
      </c>
    </row>
    <row r="84" spans="1:8" x14ac:dyDescent="0.35">
      <c r="A84" t="s">
        <v>282</v>
      </c>
      <c r="B84" t="s">
        <v>58</v>
      </c>
      <c r="C84" t="s">
        <v>98</v>
      </c>
      <c r="D84" s="1" t="s">
        <v>151</v>
      </c>
      <c r="E84" s="1" t="str">
        <f t="shared" si="1"/>
        <v>Apr</v>
      </c>
      <c r="F84">
        <v>4</v>
      </c>
      <c r="G84" t="s">
        <v>124</v>
      </c>
      <c r="H84" s="5" t="str">
        <f>VLOOKUP(B84, Customers!A:D, 4, FALSE)</f>
        <v>Nairobi</v>
      </c>
    </row>
    <row r="85" spans="1:8" x14ac:dyDescent="0.35">
      <c r="A85" t="s">
        <v>283</v>
      </c>
      <c r="B85" t="s">
        <v>44</v>
      </c>
      <c r="C85" t="s">
        <v>98</v>
      </c>
      <c r="D85" s="1" t="s">
        <v>189</v>
      </c>
      <c r="E85" s="1" t="str">
        <f t="shared" si="1"/>
        <v>Jan</v>
      </c>
      <c r="F85">
        <v>1</v>
      </c>
      <c r="G85" t="s">
        <v>143</v>
      </c>
      <c r="H85" s="5" t="str">
        <f>VLOOKUP(B85, Customers!A:D, 4, FALSE)</f>
        <v>Mombasa</v>
      </c>
    </row>
    <row r="86" spans="1:8" x14ac:dyDescent="0.35">
      <c r="A86" t="s">
        <v>284</v>
      </c>
      <c r="B86" t="s">
        <v>17</v>
      </c>
      <c r="C86" t="s">
        <v>98</v>
      </c>
      <c r="D86" s="1" t="s">
        <v>285</v>
      </c>
      <c r="E86" s="1" t="str">
        <f t="shared" si="1"/>
        <v>Nov</v>
      </c>
      <c r="F86">
        <v>4</v>
      </c>
      <c r="G86" t="s">
        <v>127</v>
      </c>
      <c r="H86" s="5" t="str">
        <f>VLOOKUP(B86, Customers!A:D, 4, FALSE)</f>
        <v>Nairobi</v>
      </c>
    </row>
    <row r="87" spans="1:8" x14ac:dyDescent="0.35">
      <c r="A87" t="s">
        <v>286</v>
      </c>
      <c r="B87" t="s">
        <v>14</v>
      </c>
      <c r="C87" t="s">
        <v>83</v>
      </c>
      <c r="D87" s="1" t="s">
        <v>287</v>
      </c>
      <c r="E87" s="1" t="str">
        <f t="shared" si="1"/>
        <v>Nov</v>
      </c>
      <c r="F87">
        <v>2</v>
      </c>
      <c r="G87" t="s">
        <v>127</v>
      </c>
      <c r="H87" s="5" t="str">
        <f>VLOOKUP(B87, Customers!A:D, 4, FALSE)</f>
        <v>Kisumu</v>
      </c>
    </row>
    <row r="88" spans="1:8" x14ac:dyDescent="0.35">
      <c r="A88" t="s">
        <v>288</v>
      </c>
      <c r="B88" t="s">
        <v>41</v>
      </c>
      <c r="C88" t="s">
        <v>79</v>
      </c>
      <c r="D88" s="1" t="s">
        <v>145</v>
      </c>
      <c r="E88" s="1" t="str">
        <f t="shared" si="1"/>
        <v>Jan</v>
      </c>
      <c r="F88">
        <v>1</v>
      </c>
      <c r="G88" t="s">
        <v>124</v>
      </c>
      <c r="H88" s="5" t="str">
        <f>VLOOKUP(B88, Customers!A:D, 4, FALSE)</f>
        <v>Kisumu</v>
      </c>
    </row>
    <row r="89" spans="1:8" x14ac:dyDescent="0.35">
      <c r="A89" t="s">
        <v>289</v>
      </c>
      <c r="B89" t="s">
        <v>60</v>
      </c>
      <c r="C89" t="s">
        <v>117</v>
      </c>
      <c r="D89" s="1" t="s">
        <v>281</v>
      </c>
      <c r="E89" s="1" t="str">
        <f t="shared" si="1"/>
        <v>Jan</v>
      </c>
      <c r="F89">
        <v>5</v>
      </c>
      <c r="G89" t="s">
        <v>124</v>
      </c>
      <c r="H89" s="5" t="str">
        <f>VLOOKUP(B89, Customers!A:D, 4, FALSE)</f>
        <v>Mombasa</v>
      </c>
    </row>
    <row r="90" spans="1:8" x14ac:dyDescent="0.35">
      <c r="A90" t="s">
        <v>290</v>
      </c>
      <c r="B90" t="s">
        <v>61</v>
      </c>
      <c r="C90" t="s">
        <v>105</v>
      </c>
      <c r="D90" s="1" t="s">
        <v>291</v>
      </c>
      <c r="E90" s="1" t="str">
        <f t="shared" si="1"/>
        <v>Dec</v>
      </c>
      <c r="F90">
        <v>5</v>
      </c>
      <c r="G90" t="s">
        <v>124</v>
      </c>
      <c r="H90" s="5" t="str">
        <f>VLOOKUP(B90, Customers!A:D, 4, FALSE)</f>
        <v>Nairobi</v>
      </c>
    </row>
    <row r="91" spans="1:8" x14ac:dyDescent="0.35">
      <c r="A91" t="s">
        <v>292</v>
      </c>
      <c r="B91" t="s">
        <v>68</v>
      </c>
      <c r="C91" t="s">
        <v>100</v>
      </c>
      <c r="D91" s="1" t="s">
        <v>293</v>
      </c>
      <c r="E91" s="1" t="str">
        <f t="shared" si="1"/>
        <v>May</v>
      </c>
      <c r="F91">
        <v>1</v>
      </c>
      <c r="G91" t="s">
        <v>130</v>
      </c>
      <c r="H91" s="5" t="str">
        <f>VLOOKUP(B91, Customers!A:D, 4, FALSE)</f>
        <v>Nairobi</v>
      </c>
    </row>
    <row r="92" spans="1:8" x14ac:dyDescent="0.35">
      <c r="A92" t="s">
        <v>294</v>
      </c>
      <c r="B92" t="s">
        <v>61</v>
      </c>
      <c r="C92" t="s">
        <v>102</v>
      </c>
      <c r="D92" s="1" t="s">
        <v>295</v>
      </c>
      <c r="E92" s="1" t="str">
        <f t="shared" si="1"/>
        <v>Sept</v>
      </c>
      <c r="F92">
        <v>3</v>
      </c>
      <c r="G92" t="s">
        <v>124</v>
      </c>
      <c r="H92" s="5" t="str">
        <f>VLOOKUP(B92, Customers!A:D, 4, FALSE)</f>
        <v>Nairobi</v>
      </c>
    </row>
    <row r="93" spans="1:8" x14ac:dyDescent="0.35">
      <c r="A93" t="s">
        <v>296</v>
      </c>
      <c r="B93" t="s">
        <v>10</v>
      </c>
      <c r="C93" t="s">
        <v>85</v>
      </c>
      <c r="D93" s="1" t="s">
        <v>297</v>
      </c>
      <c r="E93" s="1" t="str">
        <f t="shared" si="1"/>
        <v>Nov</v>
      </c>
      <c r="F93">
        <v>4</v>
      </c>
      <c r="G93" t="s">
        <v>143</v>
      </c>
      <c r="H93" s="5" t="str">
        <f>VLOOKUP(B93, Customers!A:D, 4, FALSE)</f>
        <v>Nairobi</v>
      </c>
    </row>
    <row r="94" spans="1:8" x14ac:dyDescent="0.35">
      <c r="A94" t="s">
        <v>298</v>
      </c>
      <c r="B94" t="s">
        <v>51</v>
      </c>
      <c r="C94" t="s">
        <v>88</v>
      </c>
      <c r="D94" s="1" t="s">
        <v>299</v>
      </c>
      <c r="E94" s="1" t="str">
        <f t="shared" si="1"/>
        <v>Jan</v>
      </c>
      <c r="F94">
        <v>2</v>
      </c>
      <c r="G94" t="s">
        <v>127</v>
      </c>
      <c r="H94" s="5" t="str">
        <f>VLOOKUP(B94, Customers!A:D, 4, FALSE)</f>
        <v>Eldoret</v>
      </c>
    </row>
    <row r="95" spans="1:8" x14ac:dyDescent="0.35">
      <c r="A95" t="s">
        <v>300</v>
      </c>
      <c r="B95" t="s">
        <v>4</v>
      </c>
      <c r="C95" t="s">
        <v>102</v>
      </c>
      <c r="D95" s="1" t="s">
        <v>222</v>
      </c>
      <c r="E95" s="1" t="str">
        <f t="shared" si="1"/>
        <v>Aug</v>
      </c>
      <c r="F95">
        <v>3</v>
      </c>
      <c r="G95" t="s">
        <v>130</v>
      </c>
      <c r="H95" s="5" t="str">
        <f>VLOOKUP(B95, Customers!A:D, 4, FALSE)</f>
        <v>Eldoret</v>
      </c>
    </row>
    <row r="96" spans="1:8" x14ac:dyDescent="0.35">
      <c r="A96" t="s">
        <v>301</v>
      </c>
      <c r="B96" t="s">
        <v>50</v>
      </c>
      <c r="C96" t="s">
        <v>99</v>
      </c>
      <c r="D96" s="1" t="s">
        <v>197</v>
      </c>
      <c r="E96" s="1" t="str">
        <f t="shared" si="1"/>
        <v>Nov</v>
      </c>
      <c r="F96">
        <v>5</v>
      </c>
      <c r="G96" t="s">
        <v>124</v>
      </c>
      <c r="H96" s="5" t="str">
        <f>VLOOKUP(B96, Customers!A:D, 4, FALSE)</f>
        <v>Nairobi</v>
      </c>
    </row>
    <row r="97" spans="1:8" x14ac:dyDescent="0.35">
      <c r="A97" t="s">
        <v>302</v>
      </c>
      <c r="B97" t="s">
        <v>46</v>
      </c>
      <c r="C97" t="s">
        <v>93</v>
      </c>
      <c r="D97" s="1" t="s">
        <v>303</v>
      </c>
      <c r="E97" s="1" t="str">
        <f t="shared" si="1"/>
        <v>Dec</v>
      </c>
      <c r="F97">
        <v>3</v>
      </c>
      <c r="G97" t="s">
        <v>124</v>
      </c>
      <c r="H97" s="5" t="str">
        <f>VLOOKUP(B97, Customers!A:D, 4, FALSE)</f>
        <v>Mombasa</v>
      </c>
    </row>
    <row r="98" spans="1:8" x14ac:dyDescent="0.35">
      <c r="A98" t="s">
        <v>304</v>
      </c>
      <c r="B98" t="s">
        <v>58</v>
      </c>
      <c r="C98" t="s">
        <v>102</v>
      </c>
      <c r="D98" s="1" t="s">
        <v>305</v>
      </c>
      <c r="E98" s="1" t="str">
        <f t="shared" si="1"/>
        <v>May</v>
      </c>
      <c r="F98">
        <v>2</v>
      </c>
      <c r="G98" t="s">
        <v>143</v>
      </c>
      <c r="H98" s="5" t="str">
        <f>VLOOKUP(B98, Customers!A:D, 4, FALSE)</f>
        <v>Nairobi</v>
      </c>
    </row>
    <row r="99" spans="1:8" x14ac:dyDescent="0.35">
      <c r="A99" t="s">
        <v>306</v>
      </c>
      <c r="B99" t="s">
        <v>55</v>
      </c>
      <c r="C99" t="s">
        <v>109</v>
      </c>
      <c r="D99" s="1" t="s">
        <v>307</v>
      </c>
      <c r="E99" s="1" t="str">
        <f t="shared" si="1"/>
        <v>Jul</v>
      </c>
      <c r="F99">
        <v>5</v>
      </c>
      <c r="G99" t="s">
        <v>143</v>
      </c>
      <c r="H99" s="5" t="str">
        <f>VLOOKUP(B99, Customers!A:D, 4, FALSE)</f>
        <v>Kisumu</v>
      </c>
    </row>
    <row r="100" spans="1:8" x14ac:dyDescent="0.35">
      <c r="A100" t="s">
        <v>308</v>
      </c>
      <c r="B100" t="s">
        <v>47</v>
      </c>
      <c r="C100" t="s">
        <v>111</v>
      </c>
      <c r="D100" s="1" t="s">
        <v>136</v>
      </c>
      <c r="E100" s="1" t="str">
        <f t="shared" si="1"/>
        <v>Jan</v>
      </c>
      <c r="F100">
        <v>2</v>
      </c>
      <c r="G100" t="s">
        <v>124</v>
      </c>
      <c r="H100" s="5" t="str">
        <f>VLOOKUP(B100, Customers!A:D, 4, FALSE)</f>
        <v>Nairobi</v>
      </c>
    </row>
    <row r="101" spans="1:8" x14ac:dyDescent="0.35">
      <c r="A101" t="s">
        <v>309</v>
      </c>
      <c r="B101" t="s">
        <v>49</v>
      </c>
      <c r="C101" t="s">
        <v>91</v>
      </c>
      <c r="D101" s="1" t="s">
        <v>129</v>
      </c>
      <c r="E101" s="1" t="str">
        <f t="shared" si="1"/>
        <v>Jun</v>
      </c>
      <c r="F101">
        <v>3</v>
      </c>
      <c r="G101" t="s">
        <v>130</v>
      </c>
      <c r="H101" s="5" t="str">
        <f>VLOOKUP(B101, Customers!A:D, 4, FALSE)</f>
        <v>Kisumu</v>
      </c>
    </row>
    <row r="102" spans="1:8" x14ac:dyDescent="0.35">
      <c r="D102" s="1"/>
    </row>
    <row r="103" spans="1:8" x14ac:dyDescent="0.35">
      <c r="D103" s="1"/>
    </row>
    <row r="104" spans="1:8" x14ac:dyDescent="0.35">
      <c r="D104" s="1"/>
    </row>
    <row r="105" spans="1:8" x14ac:dyDescent="0.35">
      <c r="D105" s="1"/>
    </row>
    <row r="106" spans="1:8" x14ac:dyDescent="0.35">
      <c r="D106" s="1"/>
    </row>
    <row r="107" spans="1:8" x14ac:dyDescent="0.35">
      <c r="D107" s="1"/>
    </row>
    <row r="108" spans="1:8" x14ac:dyDescent="0.35">
      <c r="D108" s="1"/>
    </row>
    <row r="109" spans="1:8" x14ac:dyDescent="0.35">
      <c r="D109" s="1"/>
    </row>
    <row r="110" spans="1:8" x14ac:dyDescent="0.35">
      <c r="D110" s="1"/>
    </row>
    <row r="111" spans="1:8" x14ac:dyDescent="0.35">
      <c r="D111" s="1"/>
    </row>
    <row r="112" spans="1:8" x14ac:dyDescent="0.35">
      <c r="D112" s="1"/>
    </row>
    <row r="113" spans="4:4" x14ac:dyDescent="0.35">
      <c r="D113" s="1"/>
    </row>
    <row r="114" spans="4:4" x14ac:dyDescent="0.35">
      <c r="D114" s="1"/>
    </row>
    <row r="115" spans="4:4" x14ac:dyDescent="0.35">
      <c r="D115" s="1"/>
    </row>
    <row r="116" spans="4:4" x14ac:dyDescent="0.35">
      <c r="D116" s="1"/>
    </row>
    <row r="117" spans="4:4" x14ac:dyDescent="0.35">
      <c r="D117" s="1"/>
    </row>
    <row r="118" spans="4:4" x14ac:dyDescent="0.35">
      <c r="D118" s="1"/>
    </row>
    <row r="119" spans="4:4" x14ac:dyDescent="0.35">
      <c r="D119" s="1"/>
    </row>
    <row r="120" spans="4:4" x14ac:dyDescent="0.35">
      <c r="D120" s="1"/>
    </row>
    <row r="121" spans="4:4" x14ac:dyDescent="0.35">
      <c r="D121" s="1"/>
    </row>
    <row r="122" spans="4:4" x14ac:dyDescent="0.35">
      <c r="D122" s="1"/>
    </row>
    <row r="123" spans="4:4" x14ac:dyDescent="0.35">
      <c r="D123" s="1"/>
    </row>
    <row r="124" spans="4:4" x14ac:dyDescent="0.35">
      <c r="D124" s="1"/>
    </row>
    <row r="125" spans="4:4" x14ac:dyDescent="0.35">
      <c r="D125" s="1"/>
    </row>
    <row r="126" spans="4:4" x14ac:dyDescent="0.35">
      <c r="D126" s="1"/>
    </row>
    <row r="127" spans="4:4" x14ac:dyDescent="0.35">
      <c r="D127" s="1"/>
    </row>
    <row r="128" spans="4:4" x14ac:dyDescent="0.35">
      <c r="D128" s="1"/>
    </row>
    <row r="129" spans="4:4" x14ac:dyDescent="0.35">
      <c r="D129" s="1"/>
    </row>
    <row r="130" spans="4:4" x14ac:dyDescent="0.35">
      <c r="D130" s="1"/>
    </row>
    <row r="131" spans="4:4" x14ac:dyDescent="0.35">
      <c r="D131" s="1"/>
    </row>
    <row r="132" spans="4:4" x14ac:dyDescent="0.35">
      <c r="D132" s="1"/>
    </row>
    <row r="133" spans="4:4" x14ac:dyDescent="0.35">
      <c r="D133" s="1"/>
    </row>
    <row r="134" spans="4:4" x14ac:dyDescent="0.35">
      <c r="D134" s="1"/>
    </row>
    <row r="135" spans="4:4" x14ac:dyDescent="0.35">
      <c r="D135" s="1"/>
    </row>
    <row r="136" spans="4:4" x14ac:dyDescent="0.35">
      <c r="D136" s="1"/>
    </row>
    <row r="137" spans="4:4" x14ac:dyDescent="0.35">
      <c r="D137" s="1"/>
    </row>
    <row r="138" spans="4:4" x14ac:dyDescent="0.35">
      <c r="D138" s="1"/>
    </row>
    <row r="139" spans="4:4" x14ac:dyDescent="0.35">
      <c r="D139" s="1"/>
    </row>
    <row r="140" spans="4:4" x14ac:dyDescent="0.35">
      <c r="D140" s="1"/>
    </row>
    <row r="141" spans="4:4" x14ac:dyDescent="0.35">
      <c r="D141" s="1"/>
    </row>
    <row r="142" spans="4:4" x14ac:dyDescent="0.35">
      <c r="D142" s="1"/>
    </row>
    <row r="143" spans="4:4" x14ac:dyDescent="0.35">
      <c r="D143" s="1"/>
    </row>
    <row r="144" spans="4:4" x14ac:dyDescent="0.35">
      <c r="D144" s="1"/>
    </row>
    <row r="145" spans="4:4" x14ac:dyDescent="0.35">
      <c r="D145" s="1"/>
    </row>
    <row r="146" spans="4:4" x14ac:dyDescent="0.35">
      <c r="D146" s="1"/>
    </row>
    <row r="147" spans="4:4" x14ac:dyDescent="0.35">
      <c r="D147" s="1"/>
    </row>
    <row r="148" spans="4:4" x14ac:dyDescent="0.35">
      <c r="D148" s="1"/>
    </row>
    <row r="149" spans="4:4" x14ac:dyDescent="0.35">
      <c r="D149" s="1"/>
    </row>
    <row r="150" spans="4:4" x14ac:dyDescent="0.35">
      <c r="D150" s="1"/>
    </row>
    <row r="151" spans="4:4" x14ac:dyDescent="0.35">
      <c r="D151" s="1"/>
    </row>
    <row r="152" spans="4:4" x14ac:dyDescent="0.35">
      <c r="D152" s="1"/>
    </row>
    <row r="153" spans="4:4" x14ac:dyDescent="0.35">
      <c r="D153" s="1"/>
    </row>
    <row r="154" spans="4:4" x14ac:dyDescent="0.35">
      <c r="D154" s="1"/>
    </row>
    <row r="155" spans="4:4" x14ac:dyDescent="0.35">
      <c r="D155" s="1"/>
    </row>
    <row r="156" spans="4:4" x14ac:dyDescent="0.35">
      <c r="D156" s="1"/>
    </row>
    <row r="157" spans="4:4" x14ac:dyDescent="0.35">
      <c r="D157" s="1"/>
    </row>
    <row r="158" spans="4:4" x14ac:dyDescent="0.35">
      <c r="D158" s="1"/>
    </row>
    <row r="159" spans="4:4" x14ac:dyDescent="0.35">
      <c r="D159" s="1"/>
    </row>
    <row r="160" spans="4:4" x14ac:dyDescent="0.35">
      <c r="D160" s="1"/>
    </row>
    <row r="161" spans="4:4" x14ac:dyDescent="0.35">
      <c r="D161" s="1"/>
    </row>
    <row r="162" spans="4:4" x14ac:dyDescent="0.35">
      <c r="D162" s="1"/>
    </row>
    <row r="163" spans="4:4" x14ac:dyDescent="0.35">
      <c r="D163" s="1"/>
    </row>
    <row r="164" spans="4:4" x14ac:dyDescent="0.35">
      <c r="D164" s="1"/>
    </row>
    <row r="165" spans="4:4" x14ac:dyDescent="0.35">
      <c r="D165" s="1"/>
    </row>
    <row r="166" spans="4:4" x14ac:dyDescent="0.35">
      <c r="D166" s="1"/>
    </row>
    <row r="167" spans="4:4" x14ac:dyDescent="0.35">
      <c r="D167" s="1"/>
    </row>
    <row r="168" spans="4:4" x14ac:dyDescent="0.35">
      <c r="D168" s="1"/>
    </row>
    <row r="169" spans="4:4" x14ac:dyDescent="0.35">
      <c r="D169" s="1"/>
    </row>
    <row r="170" spans="4:4" x14ac:dyDescent="0.35">
      <c r="D170" s="1"/>
    </row>
    <row r="171" spans="4:4" x14ac:dyDescent="0.35">
      <c r="D171" s="1"/>
    </row>
    <row r="172" spans="4:4" x14ac:dyDescent="0.35">
      <c r="D172" s="1"/>
    </row>
    <row r="173" spans="4:4" x14ac:dyDescent="0.35">
      <c r="D173" s="1"/>
    </row>
    <row r="174" spans="4:4" x14ac:dyDescent="0.35">
      <c r="D174" s="1"/>
    </row>
    <row r="175" spans="4:4" x14ac:dyDescent="0.35">
      <c r="D175" s="1"/>
    </row>
    <row r="176" spans="4:4" x14ac:dyDescent="0.35">
      <c r="D176" s="1"/>
    </row>
    <row r="177" spans="4:4" x14ac:dyDescent="0.35">
      <c r="D177" s="1"/>
    </row>
    <row r="178" spans="4:4" x14ac:dyDescent="0.35">
      <c r="D178" s="1"/>
    </row>
    <row r="179" spans="4:4" x14ac:dyDescent="0.35">
      <c r="D179" s="1"/>
    </row>
    <row r="180" spans="4:4" x14ac:dyDescent="0.35">
      <c r="D180" s="1"/>
    </row>
    <row r="181" spans="4:4" x14ac:dyDescent="0.35">
      <c r="D181" s="1"/>
    </row>
    <row r="182" spans="4:4" x14ac:dyDescent="0.35">
      <c r="D182" s="1"/>
    </row>
    <row r="183" spans="4:4" x14ac:dyDescent="0.35">
      <c r="D183" s="1"/>
    </row>
    <row r="184" spans="4:4" x14ac:dyDescent="0.35">
      <c r="D184" s="1"/>
    </row>
    <row r="185" spans="4:4" x14ac:dyDescent="0.35">
      <c r="D185" s="1"/>
    </row>
    <row r="186" spans="4:4" x14ac:dyDescent="0.35">
      <c r="D186" s="1"/>
    </row>
    <row r="187" spans="4:4" x14ac:dyDescent="0.35">
      <c r="D187" s="1"/>
    </row>
    <row r="188" spans="4:4" x14ac:dyDescent="0.35">
      <c r="D188" s="1"/>
    </row>
    <row r="189" spans="4:4" x14ac:dyDescent="0.35">
      <c r="D189" s="1"/>
    </row>
    <row r="190" spans="4:4" x14ac:dyDescent="0.35">
      <c r="D190" s="1"/>
    </row>
    <row r="191" spans="4:4" x14ac:dyDescent="0.35">
      <c r="D191" s="1"/>
    </row>
    <row r="192" spans="4:4" x14ac:dyDescent="0.35">
      <c r="D192" s="1"/>
    </row>
    <row r="193" spans="4:4" x14ac:dyDescent="0.35">
      <c r="D193" s="1"/>
    </row>
    <row r="194" spans="4:4" x14ac:dyDescent="0.35">
      <c r="D194" s="1"/>
    </row>
    <row r="195" spans="4:4" x14ac:dyDescent="0.35">
      <c r="D195" s="1"/>
    </row>
    <row r="196" spans="4:4" x14ac:dyDescent="0.35">
      <c r="D196" s="1"/>
    </row>
    <row r="197" spans="4:4" x14ac:dyDescent="0.35">
      <c r="D197" s="1"/>
    </row>
    <row r="198" spans="4:4" x14ac:dyDescent="0.35">
      <c r="D198" s="1"/>
    </row>
    <row r="199" spans="4:4" x14ac:dyDescent="0.35">
      <c r="D199" s="1"/>
    </row>
    <row r="200" spans="4:4" x14ac:dyDescent="0.35">
      <c r="D200" s="1"/>
    </row>
    <row r="201" spans="4:4" x14ac:dyDescent="0.35">
      <c r="D201"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58"/>
  <sheetViews>
    <sheetView topLeftCell="A27" workbookViewId="0">
      <selection activeCell="B5" sqref="B5"/>
    </sheetView>
  </sheetViews>
  <sheetFormatPr defaultRowHeight="14.5" x14ac:dyDescent="0.35"/>
  <cols>
    <col min="1" max="1" width="12.36328125" customWidth="1"/>
    <col min="2" max="2" width="14.54296875" customWidth="1"/>
    <col min="4" max="4" width="12.36328125" customWidth="1"/>
    <col min="5" max="5" width="14.54296875" bestFit="1" customWidth="1"/>
    <col min="7" max="7" width="12.36328125" customWidth="1"/>
    <col min="8" max="8" width="14.54296875" customWidth="1"/>
    <col min="9" max="9" width="14.54296875" bestFit="1" customWidth="1"/>
  </cols>
  <sheetData>
    <row r="3" spans="1:2" x14ac:dyDescent="0.35">
      <c r="A3" s="6" t="s">
        <v>311</v>
      </c>
      <c r="B3" t="s">
        <v>315</v>
      </c>
    </row>
    <row r="4" spans="1:2" x14ac:dyDescent="0.35">
      <c r="A4" s="7" t="s">
        <v>28</v>
      </c>
      <c r="B4" s="3">
        <v>4</v>
      </c>
    </row>
    <row r="5" spans="1:2" x14ac:dyDescent="0.35">
      <c r="A5" s="7" t="s">
        <v>41</v>
      </c>
      <c r="B5" s="3">
        <v>3</v>
      </c>
    </row>
    <row r="6" spans="1:2" x14ac:dyDescent="0.35">
      <c r="A6" s="7" t="s">
        <v>55</v>
      </c>
      <c r="B6" s="3">
        <v>5</v>
      </c>
    </row>
    <row r="7" spans="1:2" x14ac:dyDescent="0.35">
      <c r="A7" s="7" t="s">
        <v>59</v>
      </c>
      <c r="B7" s="3">
        <v>4</v>
      </c>
    </row>
    <row r="8" spans="1:2" x14ac:dyDescent="0.35">
      <c r="A8" s="7" t="s">
        <v>66</v>
      </c>
      <c r="B8" s="3">
        <v>4</v>
      </c>
    </row>
    <row r="9" spans="1:2" x14ac:dyDescent="0.35">
      <c r="A9" s="7" t="s">
        <v>312</v>
      </c>
      <c r="B9" s="3">
        <v>20</v>
      </c>
    </row>
    <row r="32" spans="4:5" x14ac:dyDescent="0.35">
      <c r="D32" s="6" t="s">
        <v>311</v>
      </c>
      <c r="E32" t="s">
        <v>315</v>
      </c>
    </row>
    <row r="33" spans="1:8" x14ac:dyDescent="0.35">
      <c r="D33" s="7" t="s">
        <v>127</v>
      </c>
      <c r="E33" s="3">
        <v>3</v>
      </c>
    </row>
    <row r="34" spans="1:8" x14ac:dyDescent="0.35">
      <c r="D34" s="7" t="s">
        <v>143</v>
      </c>
      <c r="E34" s="3">
        <v>9</v>
      </c>
      <c r="G34" s="6" t="s">
        <v>311</v>
      </c>
      <c r="H34" t="s">
        <v>315</v>
      </c>
    </row>
    <row r="35" spans="1:8" x14ac:dyDescent="0.35">
      <c r="D35" s="7" t="s">
        <v>130</v>
      </c>
      <c r="E35" s="3">
        <v>8</v>
      </c>
      <c r="G35" s="7" t="s">
        <v>313</v>
      </c>
      <c r="H35" s="3">
        <v>3</v>
      </c>
    </row>
    <row r="36" spans="1:8" x14ac:dyDescent="0.35">
      <c r="D36" s="7" t="s">
        <v>312</v>
      </c>
      <c r="E36" s="3">
        <v>20</v>
      </c>
      <c r="G36" s="7" t="s">
        <v>314</v>
      </c>
      <c r="H36" s="3">
        <v>17</v>
      </c>
    </row>
    <row r="37" spans="1:8" x14ac:dyDescent="0.35">
      <c r="G37" s="7" t="s">
        <v>312</v>
      </c>
      <c r="H37" s="3">
        <v>20</v>
      </c>
    </row>
    <row r="48" spans="1:8" x14ac:dyDescent="0.35">
      <c r="A48" s="5"/>
    </row>
    <row r="49" spans="1:9" x14ac:dyDescent="0.35">
      <c r="A49" s="7"/>
      <c r="B49" s="3"/>
      <c r="H49" s="5"/>
    </row>
    <row r="50" spans="1:9" x14ac:dyDescent="0.35">
      <c r="A50" s="7"/>
      <c r="B50" s="3"/>
      <c r="H50" s="7"/>
      <c r="I50" s="3"/>
    </row>
    <row r="51" spans="1:9" x14ac:dyDescent="0.35">
      <c r="A51" s="7"/>
      <c r="B51" s="3"/>
      <c r="H51" s="7"/>
      <c r="I51" s="3"/>
    </row>
    <row r="52" spans="1:9" x14ac:dyDescent="0.35">
      <c r="A52" s="7"/>
      <c r="B52" s="3"/>
      <c r="H52" s="7"/>
      <c r="I52" s="3"/>
    </row>
    <row r="53" spans="1:9" x14ac:dyDescent="0.35">
      <c r="A53" s="7"/>
      <c r="B53" s="3"/>
      <c r="H53" s="7"/>
      <c r="I53" s="3"/>
    </row>
    <row r="54" spans="1:9" x14ac:dyDescent="0.35">
      <c r="A54" s="7"/>
      <c r="B54" s="3"/>
      <c r="H54" s="7"/>
      <c r="I54" s="3"/>
    </row>
    <row r="55" spans="1:9" x14ac:dyDescent="0.35">
      <c r="H55" s="7"/>
      <c r="I55" s="3"/>
    </row>
    <row r="56" spans="1:9" x14ac:dyDescent="0.35">
      <c r="H56" s="6" t="s">
        <v>311</v>
      </c>
      <c r="I56" t="s">
        <v>315</v>
      </c>
    </row>
    <row r="57" spans="1:9" x14ac:dyDescent="0.35">
      <c r="H57" s="7" t="s">
        <v>16</v>
      </c>
      <c r="I57" s="3">
        <v>20</v>
      </c>
    </row>
    <row r="58" spans="1:9" x14ac:dyDescent="0.35">
      <c r="H58" s="7" t="s">
        <v>312</v>
      </c>
      <c r="I58" s="3">
        <v>20</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tabSelected="1" topLeftCell="A14" zoomScaleNormal="100" workbookViewId="0">
      <selection activeCell="M33" sqref="M33"/>
    </sheetView>
  </sheetViews>
  <sheetFormatPr defaultRowHeight="14.5" x14ac:dyDescent="0.35"/>
  <cols>
    <col min="1" max="16384" width="8.7265625" style="8"/>
  </cols>
  <sheetData>
    <row r="1" spans="1:19" x14ac:dyDescent="0.35">
      <c r="A1" s="8" t="s">
        <v>316</v>
      </c>
      <c r="C1" s="8" t="s">
        <v>317</v>
      </c>
      <c r="E1" s="8" t="s">
        <v>318</v>
      </c>
    </row>
    <row r="2" spans="1:19" x14ac:dyDescent="0.35">
      <c r="A2" s="8">
        <f>COUNTA(orders!A:A)-1</f>
        <v>100</v>
      </c>
      <c r="C2" s="8">
        <f>SUM(orders!F:F)</f>
        <v>313</v>
      </c>
      <c r="E2" s="9">
        <v>50</v>
      </c>
    </row>
    <row r="3" spans="1:19" x14ac:dyDescent="0.35">
      <c r="B3" s="10" t="s">
        <v>319</v>
      </c>
      <c r="C3" s="10"/>
      <c r="D3" s="10"/>
      <c r="E3" s="10"/>
      <c r="F3" s="10"/>
      <c r="G3" s="10"/>
      <c r="H3" s="10"/>
      <c r="I3" s="10"/>
      <c r="J3" s="10"/>
      <c r="K3" s="10"/>
      <c r="L3" s="10"/>
      <c r="M3" s="10"/>
      <c r="N3" s="10"/>
      <c r="O3" s="10"/>
      <c r="P3" s="10"/>
      <c r="Q3" s="10"/>
    </row>
    <row r="4" spans="1:19" x14ac:dyDescent="0.35">
      <c r="B4" s="10"/>
      <c r="C4" s="10"/>
      <c r="D4" s="10"/>
      <c r="E4" s="10"/>
      <c r="F4" s="10"/>
      <c r="G4" s="10"/>
      <c r="H4" s="10"/>
      <c r="I4" s="10"/>
      <c r="J4" s="10"/>
      <c r="K4" s="10"/>
      <c r="L4" s="10"/>
      <c r="M4" s="10"/>
      <c r="N4" s="10"/>
      <c r="O4" s="10"/>
      <c r="P4" s="10"/>
      <c r="Q4" s="10"/>
    </row>
    <row r="5" spans="1:19" x14ac:dyDescent="0.35">
      <c r="A5" s="11"/>
      <c r="B5" s="11"/>
      <c r="C5" s="11"/>
      <c r="D5" s="11"/>
      <c r="E5" s="11"/>
      <c r="F5" s="11"/>
      <c r="G5" s="11"/>
      <c r="H5" s="11"/>
      <c r="I5" s="11"/>
      <c r="J5" s="11"/>
      <c r="K5" s="11"/>
      <c r="L5" s="11"/>
      <c r="M5" s="11"/>
      <c r="N5" s="11"/>
      <c r="O5" s="11"/>
      <c r="P5" s="11"/>
      <c r="Q5" s="11"/>
      <c r="R5" s="11"/>
      <c r="S5" s="11"/>
    </row>
    <row r="6" spans="1:19" x14ac:dyDescent="0.35">
      <c r="A6" s="11"/>
      <c r="B6" s="11"/>
      <c r="C6" s="11"/>
      <c r="D6" s="11"/>
      <c r="E6" s="11"/>
      <c r="F6" s="11"/>
      <c r="G6" s="11"/>
      <c r="H6" s="11"/>
      <c r="I6" s="11"/>
      <c r="J6" s="11"/>
      <c r="K6" s="11"/>
      <c r="L6" s="11"/>
      <c r="M6" s="11"/>
      <c r="N6" s="11"/>
      <c r="O6" s="11"/>
      <c r="P6" s="11"/>
      <c r="Q6" s="11"/>
      <c r="R6" s="11"/>
      <c r="S6" s="11"/>
    </row>
    <row r="7" spans="1:19" x14ac:dyDescent="0.35">
      <c r="A7" s="11"/>
      <c r="B7" s="11"/>
      <c r="C7" s="11"/>
      <c r="D7" s="11"/>
      <c r="E7" s="11"/>
      <c r="F7" s="11"/>
      <c r="G7" s="11"/>
      <c r="H7" s="11"/>
      <c r="I7" s="11"/>
      <c r="J7" s="11"/>
      <c r="K7" s="11"/>
      <c r="L7" s="11"/>
      <c r="M7" s="11"/>
      <c r="N7" s="11"/>
      <c r="O7" s="11"/>
      <c r="P7" s="11"/>
      <c r="Q7" s="11"/>
      <c r="R7" s="11"/>
      <c r="S7" s="11"/>
    </row>
    <row r="8" spans="1:19" x14ac:dyDescent="0.35">
      <c r="A8" s="11"/>
      <c r="B8" s="11"/>
      <c r="C8" s="11"/>
      <c r="D8" s="11"/>
      <c r="E8" s="11"/>
      <c r="F8" s="11"/>
      <c r="G8" s="11"/>
      <c r="H8" s="11"/>
      <c r="I8" s="11"/>
      <c r="J8" s="11"/>
      <c r="K8" s="11"/>
      <c r="L8" s="11"/>
      <c r="M8" s="11"/>
      <c r="N8" s="11"/>
      <c r="O8" s="11"/>
      <c r="P8" s="11"/>
      <c r="Q8" s="11"/>
      <c r="R8" s="11"/>
      <c r="S8" s="11"/>
    </row>
    <row r="9" spans="1:19" x14ac:dyDescent="0.35">
      <c r="A9" s="11"/>
      <c r="B9" s="11"/>
      <c r="C9" s="11"/>
      <c r="D9" s="11"/>
      <c r="E9" s="11"/>
      <c r="F9" s="11"/>
      <c r="G9" s="11"/>
      <c r="H9" s="11"/>
      <c r="I9" s="11"/>
      <c r="J9" s="11"/>
      <c r="K9" s="11"/>
      <c r="L9" s="11"/>
      <c r="M9" s="11"/>
      <c r="N9" s="11"/>
      <c r="O9" s="11"/>
      <c r="P9" s="11"/>
      <c r="Q9" s="11"/>
      <c r="R9" s="11"/>
      <c r="S9" s="11"/>
    </row>
    <row r="10" spans="1:19" x14ac:dyDescent="0.35">
      <c r="A10" s="11"/>
      <c r="B10" s="11"/>
      <c r="C10" s="11"/>
      <c r="D10" s="11"/>
      <c r="E10" s="11"/>
      <c r="F10" s="11"/>
      <c r="G10" s="11"/>
      <c r="H10" s="11"/>
      <c r="I10" s="11"/>
      <c r="J10" s="11"/>
      <c r="K10" s="11"/>
      <c r="L10" s="11"/>
      <c r="M10" s="11"/>
      <c r="N10" s="11"/>
      <c r="O10" s="11"/>
      <c r="P10" s="11"/>
      <c r="Q10" s="11"/>
      <c r="R10" s="11"/>
      <c r="S10" s="11"/>
    </row>
    <row r="11" spans="1:19" x14ac:dyDescent="0.35">
      <c r="A11" s="11"/>
      <c r="B11" s="11"/>
      <c r="C11" s="11"/>
      <c r="D11" s="11"/>
      <c r="E11" s="11"/>
      <c r="F11" s="11"/>
      <c r="G11" s="11"/>
      <c r="H11" s="11"/>
      <c r="I11" s="11"/>
      <c r="J11" s="11"/>
      <c r="K11" s="11"/>
      <c r="L11" s="11"/>
      <c r="M11" s="11"/>
      <c r="N11" s="11"/>
      <c r="O11" s="11"/>
      <c r="P11" s="11"/>
      <c r="Q11" s="11"/>
      <c r="R11" s="11"/>
      <c r="S11" s="11"/>
    </row>
    <row r="12" spans="1:19" x14ac:dyDescent="0.35">
      <c r="A12" s="11"/>
      <c r="B12" s="11"/>
      <c r="C12" s="11"/>
      <c r="D12" s="11"/>
      <c r="E12" s="11"/>
      <c r="F12" s="11"/>
      <c r="G12" s="11"/>
      <c r="H12" s="11"/>
      <c r="I12" s="11"/>
      <c r="J12" s="11"/>
      <c r="K12" s="11"/>
      <c r="L12" s="11"/>
      <c r="M12" s="11"/>
      <c r="N12" s="11"/>
      <c r="O12" s="11"/>
      <c r="P12" s="11"/>
      <c r="Q12" s="11"/>
      <c r="R12" s="11"/>
      <c r="S12" s="11"/>
    </row>
    <row r="13" spans="1:19" x14ac:dyDescent="0.35">
      <c r="A13" s="11"/>
      <c r="B13" s="11"/>
      <c r="C13" s="11"/>
      <c r="D13" s="11"/>
      <c r="E13" s="11"/>
      <c r="F13" s="11"/>
      <c r="G13" s="11"/>
      <c r="H13" s="11"/>
      <c r="I13" s="11"/>
      <c r="J13" s="11"/>
      <c r="K13" s="11"/>
      <c r="L13" s="11"/>
      <c r="M13" s="11"/>
      <c r="N13" s="11"/>
      <c r="O13" s="11"/>
      <c r="P13" s="11"/>
      <c r="Q13" s="11"/>
      <c r="R13" s="11"/>
      <c r="S13" s="11"/>
    </row>
    <row r="14" spans="1:19" x14ac:dyDescent="0.35">
      <c r="A14" s="11"/>
      <c r="B14" s="11"/>
      <c r="C14" s="11"/>
      <c r="D14" s="11"/>
      <c r="E14" s="11"/>
      <c r="F14" s="11"/>
      <c r="G14" s="11"/>
      <c r="H14" s="11"/>
      <c r="I14" s="11"/>
      <c r="J14" s="11"/>
      <c r="K14" s="11"/>
      <c r="L14" s="11"/>
      <c r="M14" s="11"/>
      <c r="N14" s="11"/>
      <c r="O14" s="11"/>
      <c r="P14" s="11"/>
      <c r="Q14" s="11"/>
      <c r="R14" s="11"/>
      <c r="S14" s="11"/>
    </row>
    <row r="15" spans="1:19" x14ac:dyDescent="0.35">
      <c r="A15" s="11"/>
      <c r="B15" s="11"/>
      <c r="C15" s="11"/>
      <c r="D15" s="11"/>
      <c r="E15" s="11"/>
      <c r="F15" s="11"/>
      <c r="G15" s="11"/>
      <c r="H15" s="11"/>
      <c r="I15" s="11"/>
      <c r="J15" s="11"/>
      <c r="K15" s="11"/>
      <c r="L15" s="11"/>
      <c r="M15" s="11"/>
      <c r="N15" s="11"/>
      <c r="O15" s="11"/>
      <c r="P15" s="11"/>
      <c r="Q15" s="11"/>
      <c r="R15" s="11"/>
      <c r="S15" s="11"/>
    </row>
    <row r="16" spans="1:19" x14ac:dyDescent="0.35">
      <c r="A16" s="11"/>
      <c r="B16" s="11"/>
      <c r="C16" s="11"/>
      <c r="D16" s="11"/>
      <c r="E16" s="11"/>
      <c r="F16" s="11"/>
      <c r="G16" s="11"/>
      <c r="H16" s="11"/>
      <c r="I16" s="11"/>
      <c r="J16" s="11"/>
      <c r="K16" s="11"/>
      <c r="L16" s="11"/>
      <c r="M16" s="11"/>
      <c r="N16" s="11"/>
      <c r="O16" s="11"/>
      <c r="P16" s="11"/>
      <c r="Q16" s="11"/>
      <c r="R16" s="11"/>
      <c r="S16" s="11"/>
    </row>
    <row r="17" spans="1:19" x14ac:dyDescent="0.35">
      <c r="A17" s="11"/>
      <c r="B17" s="11"/>
      <c r="C17" s="11"/>
      <c r="D17" s="11"/>
      <c r="E17" s="11"/>
      <c r="F17" s="11"/>
      <c r="G17" s="11"/>
      <c r="H17" s="11"/>
      <c r="I17" s="11"/>
      <c r="J17" s="11"/>
      <c r="K17" s="11"/>
      <c r="L17" s="11"/>
      <c r="M17" s="11"/>
      <c r="N17" s="11"/>
      <c r="O17" s="11"/>
      <c r="P17" s="11"/>
      <c r="Q17" s="11"/>
      <c r="R17" s="11"/>
      <c r="S17" s="11"/>
    </row>
    <row r="18" spans="1:19" x14ac:dyDescent="0.35">
      <c r="A18" s="11"/>
      <c r="B18" s="11"/>
      <c r="C18" s="11"/>
      <c r="D18" s="11"/>
      <c r="E18" s="11"/>
      <c r="F18" s="11"/>
      <c r="G18" s="11"/>
      <c r="H18" s="11"/>
      <c r="I18" s="11"/>
      <c r="J18" s="11"/>
      <c r="K18" s="11"/>
      <c r="L18" s="11"/>
      <c r="M18" s="11"/>
      <c r="N18" s="11"/>
      <c r="O18" s="11"/>
      <c r="P18" s="11"/>
      <c r="Q18" s="11"/>
      <c r="R18" s="11"/>
      <c r="S18" s="11"/>
    </row>
    <row r="19" spans="1:19" x14ac:dyDescent="0.35">
      <c r="A19" s="11"/>
      <c r="B19" s="11"/>
      <c r="C19" s="11"/>
      <c r="D19" s="11"/>
      <c r="E19" s="11"/>
      <c r="F19" s="11"/>
      <c r="G19" s="11"/>
      <c r="H19" s="11"/>
      <c r="I19" s="11"/>
      <c r="J19" s="11"/>
      <c r="K19" s="11"/>
      <c r="L19" s="11"/>
      <c r="M19" s="11"/>
      <c r="N19" s="11"/>
      <c r="O19" s="11"/>
      <c r="P19" s="11"/>
      <c r="Q19" s="11"/>
      <c r="R19" s="11"/>
      <c r="S19" s="11"/>
    </row>
    <row r="20" spans="1:19" x14ac:dyDescent="0.35">
      <c r="A20" s="11"/>
      <c r="B20" s="11"/>
      <c r="C20" s="11"/>
      <c r="D20" s="11"/>
      <c r="E20" s="11"/>
      <c r="F20" s="11"/>
      <c r="G20" s="11"/>
      <c r="H20" s="11"/>
      <c r="I20" s="11"/>
      <c r="J20" s="11"/>
      <c r="K20" s="11"/>
      <c r="L20" s="11"/>
      <c r="M20" s="11"/>
      <c r="N20" s="11"/>
      <c r="O20" s="11"/>
      <c r="P20" s="11"/>
      <c r="Q20" s="11"/>
      <c r="R20" s="11"/>
      <c r="S20" s="11"/>
    </row>
    <row r="21" spans="1:19" x14ac:dyDescent="0.35">
      <c r="A21" s="11"/>
      <c r="B21" s="11"/>
      <c r="C21" s="11"/>
      <c r="D21" s="11"/>
      <c r="E21" s="11"/>
      <c r="F21" s="11"/>
      <c r="G21" s="11"/>
      <c r="H21" s="11"/>
      <c r="I21" s="11"/>
      <c r="J21" s="11"/>
      <c r="K21" s="11"/>
      <c r="L21" s="11"/>
      <c r="M21" s="11"/>
      <c r="N21" s="11"/>
      <c r="O21" s="11"/>
      <c r="P21" s="11"/>
      <c r="Q21" s="11"/>
      <c r="R21" s="11"/>
      <c r="S21" s="11"/>
    </row>
    <row r="22" spans="1:19" x14ac:dyDescent="0.35">
      <c r="A22" s="11"/>
      <c r="B22" s="11"/>
      <c r="C22" s="11"/>
      <c r="D22" s="11"/>
      <c r="E22" s="11"/>
      <c r="F22" s="11"/>
      <c r="G22" s="11"/>
      <c r="H22" s="11"/>
      <c r="I22" s="11"/>
      <c r="J22" s="11"/>
      <c r="K22" s="11"/>
      <c r="L22" s="11"/>
      <c r="M22" s="11"/>
      <c r="N22" s="11"/>
      <c r="O22" s="11"/>
      <c r="P22" s="11"/>
      <c r="Q22" s="11"/>
      <c r="R22" s="11"/>
      <c r="S22" s="11"/>
    </row>
    <row r="23" spans="1:19" x14ac:dyDescent="0.35">
      <c r="A23" s="11"/>
      <c r="B23" s="11"/>
      <c r="C23" s="11"/>
      <c r="D23" s="11"/>
      <c r="E23" s="11"/>
      <c r="F23" s="11"/>
      <c r="G23" s="11"/>
      <c r="H23" s="11"/>
      <c r="I23" s="11"/>
      <c r="J23" s="11"/>
      <c r="K23" s="11"/>
      <c r="L23" s="11"/>
      <c r="M23" s="11"/>
      <c r="N23" s="11"/>
      <c r="O23" s="11"/>
      <c r="P23" s="11"/>
      <c r="Q23" s="11"/>
      <c r="R23" s="11"/>
      <c r="S23" s="11"/>
    </row>
    <row r="24" spans="1:19" x14ac:dyDescent="0.35">
      <c r="A24" s="11"/>
      <c r="B24" s="11"/>
      <c r="C24" s="11"/>
      <c r="D24" s="11"/>
      <c r="E24" s="11"/>
      <c r="F24" s="11"/>
      <c r="G24" s="11"/>
      <c r="H24" s="11"/>
      <c r="I24" s="11"/>
      <c r="J24" s="11"/>
      <c r="K24" s="11"/>
      <c r="L24" s="11"/>
      <c r="M24" s="11"/>
      <c r="N24" s="11"/>
      <c r="O24" s="11"/>
      <c r="P24" s="11"/>
      <c r="Q24" s="11"/>
      <c r="R24" s="11"/>
      <c r="S24" s="11"/>
    </row>
    <row r="25" spans="1:19" x14ac:dyDescent="0.35">
      <c r="A25" s="11"/>
      <c r="B25" s="11"/>
      <c r="C25" s="11"/>
      <c r="D25" s="11"/>
      <c r="E25" s="11"/>
      <c r="F25" s="11"/>
      <c r="G25" s="11"/>
      <c r="H25" s="11"/>
      <c r="I25" s="11"/>
      <c r="J25" s="11"/>
      <c r="K25" s="11"/>
      <c r="L25" s="11"/>
      <c r="M25" s="11"/>
      <c r="N25" s="11"/>
      <c r="O25" s="11"/>
      <c r="P25" s="11"/>
      <c r="Q25" s="11"/>
      <c r="R25" s="11"/>
      <c r="S25" s="11"/>
    </row>
    <row r="26" spans="1:19" x14ac:dyDescent="0.35">
      <c r="A26" s="11"/>
      <c r="B26" s="11"/>
      <c r="C26" s="11"/>
      <c r="D26" s="11"/>
      <c r="E26" s="11"/>
      <c r="F26" s="11"/>
      <c r="G26" s="11"/>
      <c r="H26" s="11"/>
      <c r="I26" s="11"/>
      <c r="J26" s="11"/>
      <c r="K26" s="11"/>
      <c r="L26" s="11"/>
      <c r="M26" s="11"/>
      <c r="N26" s="11"/>
      <c r="O26" s="11"/>
      <c r="P26" s="11"/>
      <c r="Q26" s="11"/>
      <c r="R26" s="11"/>
      <c r="S26" s="11"/>
    </row>
    <row r="27" spans="1:19" x14ac:dyDescent="0.35">
      <c r="A27" s="11"/>
      <c r="B27" s="11"/>
      <c r="C27" s="11"/>
      <c r="D27" s="11"/>
      <c r="E27" s="11"/>
      <c r="F27" s="11"/>
      <c r="G27" s="11"/>
      <c r="H27" s="11"/>
      <c r="I27" s="11"/>
      <c r="J27" s="11"/>
      <c r="K27" s="11"/>
      <c r="L27" s="11"/>
      <c r="M27" s="11"/>
      <c r="N27" s="11"/>
      <c r="O27" s="11"/>
      <c r="P27" s="11"/>
      <c r="Q27" s="11"/>
      <c r="R27" s="11"/>
      <c r="S27" s="11"/>
    </row>
    <row r="28" spans="1:19" x14ac:dyDescent="0.35">
      <c r="A28" s="11"/>
      <c r="B28" s="11"/>
      <c r="C28" s="11"/>
      <c r="D28" s="11"/>
      <c r="E28" s="11"/>
      <c r="F28" s="11"/>
      <c r="G28" s="11"/>
      <c r="H28" s="11"/>
      <c r="I28" s="11"/>
      <c r="J28" s="11"/>
      <c r="K28" s="11"/>
      <c r="L28" s="11"/>
      <c r="M28" s="11"/>
      <c r="N28" s="11"/>
      <c r="O28" s="11"/>
      <c r="P28" s="11"/>
      <c r="Q28" s="11"/>
      <c r="R28" s="11"/>
      <c r="S28" s="11"/>
    </row>
    <row r="29" spans="1:19" x14ac:dyDescent="0.35">
      <c r="A29" s="11"/>
      <c r="B29" s="11"/>
      <c r="C29" s="11"/>
      <c r="D29" s="11"/>
      <c r="E29" s="11"/>
      <c r="F29" s="11"/>
      <c r="G29" s="11"/>
      <c r="H29" s="11"/>
      <c r="I29" s="11"/>
      <c r="J29" s="11"/>
      <c r="K29" s="11"/>
      <c r="L29" s="11"/>
      <c r="M29" s="11"/>
      <c r="N29" s="11"/>
      <c r="O29" s="11"/>
      <c r="P29" s="11"/>
      <c r="Q29" s="11"/>
      <c r="R29" s="11"/>
      <c r="S29" s="11"/>
    </row>
    <row r="30" spans="1:19" x14ac:dyDescent="0.35">
      <c r="A30" s="11"/>
      <c r="B30" s="11"/>
      <c r="C30" s="11"/>
      <c r="D30" s="11"/>
      <c r="E30" s="11"/>
      <c r="F30" s="11"/>
      <c r="G30" s="11"/>
      <c r="H30" s="11"/>
      <c r="I30" s="11"/>
      <c r="J30" s="11"/>
      <c r="K30" s="11"/>
      <c r="L30" s="11"/>
      <c r="M30" s="11"/>
      <c r="N30" s="11"/>
      <c r="O30" s="11"/>
      <c r="P30" s="11"/>
      <c r="Q30" s="11"/>
      <c r="R30" s="11"/>
      <c r="S30" s="11"/>
    </row>
    <row r="31" spans="1:19" ht="17.5" x14ac:dyDescent="0.35">
      <c r="A31" s="11"/>
      <c r="B31" s="14" t="s">
        <v>321</v>
      </c>
      <c r="C31" s="12"/>
      <c r="D31" s="12"/>
      <c r="E31" s="12"/>
      <c r="F31" s="12"/>
      <c r="G31" s="12"/>
      <c r="H31" s="12"/>
      <c r="I31" s="12"/>
      <c r="J31" s="12"/>
      <c r="K31" s="11"/>
      <c r="L31" s="11"/>
      <c r="M31" s="11"/>
      <c r="N31" s="11"/>
      <c r="O31" s="11"/>
      <c r="P31" s="11"/>
      <c r="Q31" s="11"/>
      <c r="R31" s="11"/>
      <c r="S31" s="11"/>
    </row>
    <row r="32" spans="1:19" x14ac:dyDescent="0.35">
      <c r="A32" s="11"/>
      <c r="B32" s="13" t="s">
        <v>320</v>
      </c>
      <c r="C32" s="12"/>
      <c r="D32" s="12"/>
      <c r="E32" s="12"/>
      <c r="F32" s="12"/>
      <c r="G32" s="12"/>
      <c r="H32" s="12"/>
      <c r="I32" s="12"/>
      <c r="J32" s="12"/>
      <c r="K32" s="11"/>
      <c r="L32" s="11"/>
      <c r="M32" s="11"/>
      <c r="N32" s="11"/>
      <c r="O32" s="11"/>
      <c r="P32" s="11"/>
      <c r="Q32" s="11"/>
      <c r="R32" s="11"/>
      <c r="S32" s="11"/>
    </row>
    <row r="33" spans="1:19" x14ac:dyDescent="0.35">
      <c r="A33" s="11"/>
      <c r="B33" s="12"/>
      <c r="C33" s="12"/>
      <c r="D33" s="12"/>
      <c r="E33" s="12"/>
      <c r="F33" s="12"/>
      <c r="G33" s="12"/>
      <c r="H33" s="12"/>
      <c r="I33" s="12"/>
      <c r="J33" s="12"/>
      <c r="K33" s="11"/>
      <c r="L33" s="11"/>
      <c r="M33" s="11"/>
      <c r="N33" s="11"/>
      <c r="O33" s="11"/>
      <c r="P33" s="11"/>
      <c r="Q33" s="11"/>
      <c r="R33" s="11"/>
      <c r="S33" s="11"/>
    </row>
    <row r="34" spans="1:19" x14ac:dyDescent="0.35">
      <c r="A34" s="11"/>
      <c r="B34" s="12"/>
      <c r="C34" s="12"/>
      <c r="D34" s="12"/>
      <c r="E34" s="12"/>
      <c r="F34" s="12"/>
      <c r="G34" s="12"/>
      <c r="H34" s="12"/>
      <c r="I34" s="12"/>
      <c r="J34" s="12"/>
      <c r="K34" s="11"/>
      <c r="L34" s="11"/>
      <c r="M34" s="11"/>
      <c r="N34" s="11"/>
      <c r="O34" s="11"/>
      <c r="P34" s="11"/>
      <c r="Q34" s="11"/>
      <c r="R34" s="11"/>
      <c r="S34" s="11"/>
    </row>
    <row r="35" spans="1:19" x14ac:dyDescent="0.35">
      <c r="A35" s="11"/>
      <c r="B35" s="12"/>
      <c r="C35" s="12"/>
      <c r="D35" s="12"/>
      <c r="E35" s="12"/>
      <c r="F35" s="12"/>
      <c r="G35" s="12"/>
      <c r="H35" s="12"/>
      <c r="I35" s="12"/>
      <c r="J35" s="12"/>
      <c r="K35" s="11"/>
      <c r="L35" s="11"/>
      <c r="M35" s="11"/>
      <c r="N35" s="11"/>
      <c r="O35" s="11"/>
      <c r="P35" s="11"/>
      <c r="Q35" s="11"/>
      <c r="R35" s="11"/>
      <c r="S35" s="11"/>
    </row>
    <row r="36" spans="1:19" x14ac:dyDescent="0.35">
      <c r="A36" s="11"/>
      <c r="B36" s="12"/>
      <c r="C36" s="12"/>
      <c r="D36" s="12"/>
      <c r="E36" s="12"/>
      <c r="F36" s="12"/>
      <c r="G36" s="12"/>
      <c r="H36" s="12"/>
      <c r="I36" s="12"/>
      <c r="J36" s="12"/>
      <c r="K36" s="11"/>
      <c r="L36" s="11"/>
      <c r="M36" s="11"/>
      <c r="N36" s="11"/>
      <c r="O36" s="11"/>
      <c r="P36" s="11"/>
      <c r="Q36" s="11"/>
      <c r="R36" s="11"/>
      <c r="S36" s="11"/>
    </row>
    <row r="37" spans="1:19" x14ac:dyDescent="0.35">
      <c r="A37" s="11"/>
      <c r="B37" s="11"/>
      <c r="C37" s="11"/>
      <c r="D37" s="11"/>
      <c r="E37" s="11"/>
      <c r="F37" s="11"/>
      <c r="G37" s="11"/>
      <c r="H37" s="11"/>
      <c r="I37" s="11"/>
      <c r="J37" s="11"/>
      <c r="K37" s="11"/>
      <c r="L37" s="11"/>
      <c r="M37" s="11"/>
      <c r="N37" s="11"/>
      <c r="O37" s="11"/>
      <c r="P37" s="11"/>
      <c r="Q37" s="11"/>
      <c r="R37" s="11"/>
      <c r="S37" s="11"/>
    </row>
  </sheetData>
  <mergeCells count="3">
    <mergeCell ref="B3:Q4"/>
    <mergeCell ref="B32:J36"/>
    <mergeCell ref="B31:J31"/>
  </mergeCells>
  <conditionalFormatting sqref="A2:F2">
    <cfRule type="colorScale" priority="2">
      <colorScale>
        <cfvo type="min"/>
        <cfvo type="percentile" val="50"/>
        <cfvo type="max"/>
        <color rgb="FFF8696B"/>
        <color rgb="FFFCFCFF"/>
        <color rgb="FF63BE7B"/>
      </colorScale>
    </cfRule>
  </conditionalFormatting>
  <conditionalFormatting sqref="A1:F2 A3:B3">
    <cfRule type="colorScale" priority="1">
      <colorScale>
        <cfvo type="min"/>
        <cfvo type="max"/>
        <color rgb="FFFCFCFF"/>
        <color rgb="FFF8696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orders</vt:lpstr>
      <vt:lpstr>pivot table</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2026-04-08T08:19:03Z</dcterms:created>
  <dcterms:modified xsi:type="dcterms:W3CDTF">2026-04-09T20:17:47Z</dcterms:modified>
</cp:coreProperties>
</file>