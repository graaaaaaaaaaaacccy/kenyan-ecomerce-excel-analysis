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4690" windowHeight="5890" tabRatio="500" activeTab="4"/>
  </bookViews>
  <sheets>
    <sheet name="Customers" sheetId="1" r:id="rId1"/>
    <sheet name="Products" sheetId="2" r:id="rId2"/>
    <sheet name="orders" sheetId="3" r:id="rId3"/>
    <sheet name="pivot table" sheetId="6" r:id="rId4"/>
    <sheet name="Dashboard" sheetId="7" r:id="rId5"/>
  </sheets>
  <definedNames>
    <definedName name="Slicer_City">#N/A</definedName>
    <definedName name="Slicer_City1">#N/A</definedName>
    <definedName name="Slicer_Months">#N/A</definedName>
    <definedName name="Slicer_Months1">#N/A</definedName>
    <definedName name="Slicer_Payment_Method">#N/A</definedName>
    <definedName name="Slicer_Payment_Method1">#N/A</definedName>
  </definedNames>
  <calcPr calcId="162913" iterateDelta="1E-4"/>
  <pivotCaches>
    <pivotCache cacheId="1"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5" i="7" l="1"/>
  <c r="A5" i="7" l="1"/>
  <c r="C5" i="7"/>
  <c r="B5" i="7"/>
  <c r="K2" i="3"/>
  <c r="I101" i="3" l="1"/>
  <c r="J101" i="3" s="1"/>
  <c r="H101" i="3"/>
  <c r="E101" i="3"/>
  <c r="I100" i="3"/>
  <c r="J100" i="3" s="1"/>
  <c r="H100" i="3"/>
  <c r="E100" i="3"/>
  <c r="I99" i="3"/>
  <c r="J99" i="3" s="1"/>
  <c r="H99" i="3"/>
  <c r="E99" i="3"/>
  <c r="I98" i="3"/>
  <c r="J98" i="3" s="1"/>
  <c r="H98" i="3"/>
  <c r="E98" i="3"/>
  <c r="I97" i="3"/>
  <c r="J97" i="3" s="1"/>
  <c r="H97" i="3"/>
  <c r="E97" i="3"/>
  <c r="I96" i="3"/>
  <c r="J96" i="3" s="1"/>
  <c r="H96" i="3"/>
  <c r="E96" i="3"/>
  <c r="I95" i="3"/>
  <c r="J95" i="3" s="1"/>
  <c r="H95" i="3"/>
  <c r="E95" i="3"/>
  <c r="I94" i="3"/>
  <c r="J94" i="3" s="1"/>
  <c r="H94" i="3"/>
  <c r="E94" i="3"/>
  <c r="I93" i="3"/>
  <c r="J93" i="3" s="1"/>
  <c r="H93" i="3"/>
  <c r="E93" i="3"/>
  <c r="I92" i="3"/>
  <c r="J92" i="3" s="1"/>
  <c r="H92" i="3"/>
  <c r="E92" i="3"/>
  <c r="I91" i="3"/>
  <c r="J91" i="3" s="1"/>
  <c r="H91" i="3"/>
  <c r="E91" i="3"/>
  <c r="I90" i="3"/>
  <c r="J90" i="3" s="1"/>
  <c r="H90" i="3"/>
  <c r="E90" i="3"/>
  <c r="I89" i="3"/>
  <c r="J89" i="3" s="1"/>
  <c r="H89" i="3"/>
  <c r="E89" i="3"/>
  <c r="I88" i="3"/>
  <c r="J88" i="3" s="1"/>
  <c r="H88" i="3"/>
  <c r="E88" i="3"/>
  <c r="I87" i="3"/>
  <c r="J87" i="3" s="1"/>
  <c r="H87" i="3"/>
  <c r="E87" i="3"/>
  <c r="I86" i="3"/>
  <c r="J86" i="3" s="1"/>
  <c r="H86" i="3"/>
  <c r="E86" i="3"/>
  <c r="I85" i="3"/>
  <c r="J85" i="3" s="1"/>
  <c r="H85" i="3"/>
  <c r="E85" i="3"/>
  <c r="I84" i="3"/>
  <c r="J84" i="3" s="1"/>
  <c r="H84" i="3"/>
  <c r="E84" i="3"/>
  <c r="I83" i="3"/>
  <c r="J83" i="3" s="1"/>
  <c r="H83" i="3"/>
  <c r="E83" i="3"/>
  <c r="I82" i="3"/>
  <c r="J82" i="3" s="1"/>
  <c r="H82" i="3"/>
  <c r="E82" i="3"/>
  <c r="I81" i="3"/>
  <c r="J81" i="3" s="1"/>
  <c r="H81" i="3"/>
  <c r="E81" i="3"/>
  <c r="I80" i="3"/>
  <c r="J80" i="3" s="1"/>
  <c r="H80" i="3"/>
  <c r="E80" i="3"/>
  <c r="I79" i="3"/>
  <c r="J79" i="3" s="1"/>
  <c r="H79" i="3"/>
  <c r="E79" i="3"/>
  <c r="I78" i="3"/>
  <c r="J78" i="3" s="1"/>
  <c r="H78" i="3"/>
  <c r="E78" i="3"/>
  <c r="I77" i="3"/>
  <c r="J77" i="3" s="1"/>
  <c r="H77" i="3"/>
  <c r="E77" i="3"/>
  <c r="I76" i="3"/>
  <c r="J76" i="3" s="1"/>
  <c r="H76" i="3"/>
  <c r="E76" i="3"/>
  <c r="I75" i="3"/>
  <c r="J75" i="3" s="1"/>
  <c r="H75" i="3"/>
  <c r="E75" i="3"/>
  <c r="I74" i="3"/>
  <c r="J74" i="3" s="1"/>
  <c r="H74" i="3"/>
  <c r="E74" i="3"/>
  <c r="I73" i="3"/>
  <c r="J73" i="3" s="1"/>
  <c r="H73" i="3"/>
  <c r="E73" i="3"/>
  <c r="I72" i="3"/>
  <c r="J72" i="3" s="1"/>
  <c r="H72" i="3"/>
  <c r="E72" i="3"/>
  <c r="I71" i="3"/>
  <c r="J71" i="3" s="1"/>
  <c r="H71" i="3"/>
  <c r="E71" i="3"/>
  <c r="I70" i="3"/>
  <c r="J70" i="3" s="1"/>
  <c r="H70" i="3"/>
  <c r="E70" i="3"/>
  <c r="I69" i="3"/>
  <c r="J69" i="3" s="1"/>
  <c r="H69" i="3"/>
  <c r="E69" i="3"/>
  <c r="I68" i="3"/>
  <c r="J68" i="3" s="1"/>
  <c r="H68" i="3"/>
  <c r="E68" i="3"/>
  <c r="I67" i="3"/>
  <c r="J67" i="3" s="1"/>
  <c r="H67" i="3"/>
  <c r="E67" i="3"/>
  <c r="I66" i="3"/>
  <c r="J66" i="3" s="1"/>
  <c r="H66" i="3"/>
  <c r="E66" i="3"/>
  <c r="I65" i="3"/>
  <c r="J65" i="3" s="1"/>
  <c r="H65" i="3"/>
  <c r="E65" i="3"/>
  <c r="I64" i="3"/>
  <c r="J64" i="3" s="1"/>
  <c r="H64" i="3"/>
  <c r="E64" i="3"/>
  <c r="I63" i="3"/>
  <c r="J63" i="3" s="1"/>
  <c r="H63" i="3"/>
  <c r="E63" i="3"/>
  <c r="I62" i="3"/>
  <c r="J62" i="3" s="1"/>
  <c r="H62" i="3"/>
  <c r="E62" i="3"/>
  <c r="I61" i="3"/>
  <c r="J61" i="3" s="1"/>
  <c r="H61" i="3"/>
  <c r="E61" i="3"/>
  <c r="I60" i="3"/>
  <c r="J60" i="3" s="1"/>
  <c r="H60" i="3"/>
  <c r="E60" i="3"/>
  <c r="I59" i="3"/>
  <c r="J59" i="3" s="1"/>
  <c r="H59" i="3"/>
  <c r="E59" i="3"/>
  <c r="I58" i="3"/>
  <c r="J58" i="3" s="1"/>
  <c r="H58" i="3"/>
  <c r="E58" i="3"/>
  <c r="I57" i="3"/>
  <c r="J57" i="3" s="1"/>
  <c r="H57" i="3"/>
  <c r="E57" i="3"/>
  <c r="I56" i="3"/>
  <c r="J56" i="3" s="1"/>
  <c r="H56" i="3"/>
  <c r="E56" i="3"/>
  <c r="I55" i="3"/>
  <c r="J55" i="3" s="1"/>
  <c r="H55" i="3"/>
  <c r="E55" i="3"/>
  <c r="I54" i="3"/>
  <c r="J54" i="3" s="1"/>
  <c r="H54" i="3"/>
  <c r="E54" i="3"/>
  <c r="I53" i="3"/>
  <c r="J53" i="3" s="1"/>
  <c r="H53" i="3"/>
  <c r="E53" i="3"/>
  <c r="I52" i="3"/>
  <c r="J52" i="3" s="1"/>
  <c r="H52" i="3"/>
  <c r="E52" i="3"/>
  <c r="I51" i="3"/>
  <c r="J51" i="3" s="1"/>
  <c r="H51" i="3"/>
  <c r="E51" i="3"/>
  <c r="I50" i="3"/>
  <c r="J50" i="3" s="1"/>
  <c r="H50" i="3"/>
  <c r="E50" i="3"/>
  <c r="I49" i="3"/>
  <c r="J49" i="3" s="1"/>
  <c r="H49" i="3"/>
  <c r="E49" i="3"/>
  <c r="I48" i="3"/>
  <c r="J48" i="3" s="1"/>
  <c r="H48" i="3"/>
  <c r="E48" i="3"/>
  <c r="I47" i="3"/>
  <c r="J47" i="3" s="1"/>
  <c r="H47" i="3"/>
  <c r="E47" i="3"/>
  <c r="I46" i="3"/>
  <c r="J46" i="3" s="1"/>
  <c r="H46" i="3"/>
  <c r="E46" i="3"/>
  <c r="I45" i="3"/>
  <c r="J45" i="3" s="1"/>
  <c r="H45" i="3"/>
  <c r="E45" i="3"/>
  <c r="I44" i="3"/>
  <c r="J44" i="3" s="1"/>
  <c r="H44" i="3"/>
  <c r="E44" i="3"/>
  <c r="I43" i="3"/>
  <c r="J43" i="3" s="1"/>
  <c r="H43" i="3"/>
  <c r="E43" i="3"/>
  <c r="I42" i="3"/>
  <c r="J42" i="3" s="1"/>
  <c r="H42" i="3"/>
  <c r="E42" i="3"/>
  <c r="I41" i="3"/>
  <c r="J41" i="3" s="1"/>
  <c r="H41" i="3"/>
  <c r="E41" i="3"/>
  <c r="I40" i="3"/>
  <c r="J40" i="3" s="1"/>
  <c r="H40" i="3"/>
  <c r="E40" i="3"/>
  <c r="I39" i="3"/>
  <c r="J39" i="3" s="1"/>
  <c r="H39" i="3"/>
  <c r="E39" i="3"/>
  <c r="I38" i="3"/>
  <c r="J38" i="3" s="1"/>
  <c r="H38" i="3"/>
  <c r="E38" i="3"/>
  <c r="I37" i="3"/>
  <c r="J37" i="3" s="1"/>
  <c r="H37" i="3"/>
  <c r="E37" i="3"/>
  <c r="I36" i="3"/>
  <c r="J36" i="3" s="1"/>
  <c r="H36" i="3"/>
  <c r="E36" i="3"/>
  <c r="I35" i="3"/>
  <c r="J35" i="3" s="1"/>
  <c r="H35" i="3"/>
  <c r="E35" i="3"/>
  <c r="I34" i="3"/>
  <c r="J34" i="3" s="1"/>
  <c r="H34" i="3"/>
  <c r="E34" i="3"/>
  <c r="I33" i="3"/>
  <c r="J33" i="3" s="1"/>
  <c r="H33" i="3"/>
  <c r="E33" i="3"/>
  <c r="I32" i="3"/>
  <c r="J32" i="3" s="1"/>
  <c r="H32" i="3"/>
  <c r="E32" i="3"/>
  <c r="I31" i="3"/>
  <c r="J31" i="3" s="1"/>
  <c r="H31" i="3"/>
  <c r="E31" i="3"/>
  <c r="I30" i="3"/>
  <c r="J30" i="3" s="1"/>
  <c r="H30" i="3"/>
  <c r="E30" i="3"/>
  <c r="I29" i="3"/>
  <c r="J29" i="3" s="1"/>
  <c r="H29" i="3"/>
  <c r="E29" i="3"/>
  <c r="I28" i="3"/>
  <c r="J28" i="3" s="1"/>
  <c r="H28" i="3"/>
  <c r="E28" i="3"/>
  <c r="I27" i="3"/>
  <c r="J27" i="3" s="1"/>
  <c r="H27" i="3"/>
  <c r="E27" i="3"/>
  <c r="I26" i="3"/>
  <c r="J26" i="3" s="1"/>
  <c r="H26" i="3"/>
  <c r="E26" i="3"/>
  <c r="I25" i="3"/>
  <c r="J25" i="3" s="1"/>
  <c r="H25" i="3"/>
  <c r="E25" i="3"/>
  <c r="I24" i="3"/>
  <c r="J24" i="3" s="1"/>
  <c r="H24" i="3"/>
  <c r="E24" i="3"/>
  <c r="I23" i="3"/>
  <c r="J23" i="3" s="1"/>
  <c r="H23" i="3"/>
  <c r="E23" i="3"/>
  <c r="I22" i="3"/>
  <c r="J22" i="3" s="1"/>
  <c r="H22" i="3"/>
  <c r="E22" i="3"/>
  <c r="I21" i="3"/>
  <c r="J21" i="3" s="1"/>
  <c r="H21" i="3"/>
  <c r="E21" i="3"/>
  <c r="I20" i="3"/>
  <c r="J20" i="3" s="1"/>
  <c r="H20" i="3"/>
  <c r="E20" i="3"/>
  <c r="I19" i="3"/>
  <c r="J19" i="3" s="1"/>
  <c r="H19" i="3"/>
  <c r="E19" i="3"/>
  <c r="I18" i="3"/>
  <c r="J18" i="3" s="1"/>
  <c r="H18" i="3"/>
  <c r="E18" i="3"/>
  <c r="I17" i="3"/>
  <c r="J17" i="3" s="1"/>
  <c r="H17" i="3"/>
  <c r="E17" i="3"/>
  <c r="I16" i="3"/>
  <c r="J16" i="3" s="1"/>
  <c r="H16" i="3"/>
  <c r="E16" i="3"/>
  <c r="I15" i="3"/>
  <c r="J15" i="3" s="1"/>
  <c r="H15" i="3"/>
  <c r="E15" i="3"/>
  <c r="I14" i="3"/>
  <c r="J14" i="3" s="1"/>
  <c r="H14" i="3"/>
  <c r="E14" i="3"/>
  <c r="I13" i="3"/>
  <c r="J13" i="3" s="1"/>
  <c r="H13" i="3"/>
  <c r="E13" i="3"/>
  <c r="I12" i="3"/>
  <c r="J12" i="3" s="1"/>
  <c r="H12" i="3"/>
  <c r="E12" i="3"/>
  <c r="I11" i="3"/>
  <c r="J11" i="3" s="1"/>
  <c r="H11" i="3"/>
  <c r="E11" i="3"/>
  <c r="I10" i="3"/>
  <c r="J10" i="3" s="1"/>
  <c r="H10" i="3"/>
  <c r="E10" i="3"/>
  <c r="I9" i="3"/>
  <c r="J9" i="3" s="1"/>
  <c r="H9" i="3"/>
  <c r="E9" i="3"/>
  <c r="I8" i="3"/>
  <c r="J8" i="3" s="1"/>
  <c r="H8" i="3"/>
  <c r="E8" i="3"/>
  <c r="I7" i="3"/>
  <c r="J7" i="3" s="1"/>
  <c r="H7" i="3"/>
  <c r="E7" i="3"/>
  <c r="I6" i="3"/>
  <c r="J6" i="3" s="1"/>
  <c r="H6" i="3"/>
  <c r="E6" i="3"/>
  <c r="I5" i="3"/>
  <c r="J5" i="3" s="1"/>
  <c r="H5" i="3"/>
  <c r="E5" i="3"/>
  <c r="I4" i="3"/>
  <c r="J4" i="3" s="1"/>
  <c r="H4" i="3"/>
  <c r="E4" i="3"/>
  <c r="I3" i="3"/>
  <c r="J3" i="3" s="1"/>
  <c r="H3" i="3"/>
  <c r="E3" i="3"/>
  <c r="I2" i="3"/>
  <c r="J2" i="3" s="1"/>
  <c r="H2" i="3"/>
  <c r="E2" i="3"/>
</calcChain>
</file>

<file path=xl/sharedStrings.xml><?xml version="1.0" encoding="utf-8"?>
<sst xmlns="http://schemas.openxmlformats.org/spreadsheetml/2006/main" count="838" uniqueCount="346">
  <si>
    <t>Customer_ID</t>
  </si>
  <si>
    <t>Name</t>
  </si>
  <si>
    <t>Age</t>
  </si>
  <si>
    <t>City</t>
  </si>
  <si>
    <t>CUST-001</t>
  </si>
  <si>
    <t>David Kiptoo</t>
  </si>
  <si>
    <t>Eldoret</t>
  </si>
  <si>
    <t>CUST-002</t>
  </si>
  <si>
    <t>James Odhiambo</t>
  </si>
  <si>
    <t>Nakuru</t>
  </si>
  <si>
    <t>CUST-003</t>
  </si>
  <si>
    <t>Mercy Njeri</t>
  </si>
  <si>
    <t>Nairobi</t>
  </si>
  <si>
    <t>CUST-004</t>
  </si>
  <si>
    <t>CUST-005</t>
  </si>
  <si>
    <t>Peter Mutua</t>
  </si>
  <si>
    <t>Kisumu</t>
  </si>
  <si>
    <t>CUST-006</t>
  </si>
  <si>
    <t>Ann Wairimu</t>
  </si>
  <si>
    <t>CUST-007</t>
  </si>
  <si>
    <t>CUST-008</t>
  </si>
  <si>
    <t>Faith Achieng</t>
  </si>
  <si>
    <t>CUST-009</t>
  </si>
  <si>
    <t>CUST-010</t>
  </si>
  <si>
    <t>CUST-011</t>
  </si>
  <si>
    <t>Mary Wanjiku</t>
  </si>
  <si>
    <t>CUST-012</t>
  </si>
  <si>
    <t>CUST-013</t>
  </si>
  <si>
    <t>CUST-014</t>
  </si>
  <si>
    <t>CUST-015</t>
  </si>
  <si>
    <t>Mombasa</t>
  </si>
  <si>
    <t>CUST-016</t>
  </si>
  <si>
    <t>CUST-017</t>
  </si>
  <si>
    <t>CUST-018</t>
  </si>
  <si>
    <t>Kevin Mwangi</t>
  </si>
  <si>
    <t>CUST-019</t>
  </si>
  <si>
    <t>CUST-020</t>
  </si>
  <si>
    <t>CUST-021</t>
  </si>
  <si>
    <t>John Kamau</t>
  </si>
  <si>
    <t>CUST-022</t>
  </si>
  <si>
    <t>CUST-023</t>
  </si>
  <si>
    <t>CUST-024</t>
  </si>
  <si>
    <t>CUST-025</t>
  </si>
  <si>
    <t>CUST-026</t>
  </si>
  <si>
    <t>CUST-027</t>
  </si>
  <si>
    <t>CUST-028</t>
  </si>
  <si>
    <t>CUST-029</t>
  </si>
  <si>
    <t>CUST-030</t>
  </si>
  <si>
    <t>CUST-031</t>
  </si>
  <si>
    <t>CUST-032</t>
  </si>
  <si>
    <t>CUST-033</t>
  </si>
  <si>
    <t>CUST-034</t>
  </si>
  <si>
    <t>Brian Otieno</t>
  </si>
  <si>
    <t>CUST-035</t>
  </si>
  <si>
    <t>CUST-036</t>
  </si>
  <si>
    <t>CUST-037</t>
  </si>
  <si>
    <t>CUST-038</t>
  </si>
  <si>
    <t>CUST-039</t>
  </si>
  <si>
    <t>CUST-040</t>
  </si>
  <si>
    <t>CUST-041</t>
  </si>
  <si>
    <t>CUST-042</t>
  </si>
  <si>
    <t>CUST-043</t>
  </si>
  <si>
    <t>CUST-044</t>
  </si>
  <si>
    <t>CUST-045</t>
  </si>
  <si>
    <t>CUST-046</t>
  </si>
  <si>
    <t>CUST-047</t>
  </si>
  <si>
    <t>CUST-048</t>
  </si>
  <si>
    <t>CUST-049</t>
  </si>
  <si>
    <t>CUST-050</t>
  </si>
  <si>
    <t>Product_ID</t>
  </si>
  <si>
    <t>Product_Name</t>
  </si>
  <si>
    <t>Category</t>
  </si>
  <si>
    <t>Price_KES</t>
  </si>
  <si>
    <t>PRD-001</t>
  </si>
  <si>
    <t>Cooking Pot</t>
  </si>
  <si>
    <t>Home &amp; Living</t>
  </si>
  <si>
    <t>PRD-002</t>
  </si>
  <si>
    <t>Smartphone</t>
  </si>
  <si>
    <t>Electronics</t>
  </si>
  <si>
    <t>PRD-003</t>
  </si>
  <si>
    <t>Ankara Dress</t>
  </si>
  <si>
    <t>Clothing</t>
  </si>
  <si>
    <t>PRD-004</t>
  </si>
  <si>
    <t>PRD-005</t>
  </si>
  <si>
    <t>Sofa Set</t>
  </si>
  <si>
    <t>PRD-006</t>
  </si>
  <si>
    <t>Hair Oil</t>
  </si>
  <si>
    <t>Beauty</t>
  </si>
  <si>
    <t>PRD-007</t>
  </si>
  <si>
    <t>Rice 5kg</t>
  </si>
  <si>
    <t>Groceries</t>
  </si>
  <si>
    <t>PRD-008</t>
  </si>
  <si>
    <t>Bluetooth Speaker</t>
  </si>
  <si>
    <t>PRD-009</t>
  </si>
  <si>
    <t>PRD-010</t>
  </si>
  <si>
    <t>Maize Flour</t>
  </si>
  <si>
    <t>PRD-011</t>
  </si>
  <si>
    <t>PRD-012</t>
  </si>
  <si>
    <t>PRD-013</t>
  </si>
  <si>
    <t>PRD-014</t>
  </si>
  <si>
    <t>PRD-015</t>
  </si>
  <si>
    <t>PRD-016</t>
  </si>
  <si>
    <t>PRD-017</t>
  </si>
  <si>
    <t>PRD-018</t>
  </si>
  <si>
    <t>PRD-019</t>
  </si>
  <si>
    <t>PRD-020</t>
  </si>
  <si>
    <t>PRD-021</t>
  </si>
  <si>
    <t>PRD-022</t>
  </si>
  <si>
    <t>Body Lotion</t>
  </si>
  <si>
    <t>PRD-023</t>
  </si>
  <si>
    <t>PRD-024</t>
  </si>
  <si>
    <t>PRD-025</t>
  </si>
  <si>
    <t>PRD-026</t>
  </si>
  <si>
    <t>PRD-027</t>
  </si>
  <si>
    <t>PRD-028</t>
  </si>
  <si>
    <t>Kitenge Shirt</t>
  </si>
  <si>
    <t>PRD-029</t>
  </si>
  <si>
    <t>PRD-030</t>
  </si>
  <si>
    <t>Order_ID</t>
  </si>
  <si>
    <t>Order_Date</t>
  </si>
  <si>
    <t>Months</t>
  </si>
  <si>
    <t>Quantity</t>
  </si>
  <si>
    <t>Payment_Method</t>
  </si>
  <si>
    <t>Revenue_KES</t>
  </si>
  <si>
    <t>ORD-001</t>
  </si>
  <si>
    <t>29/06/2024</t>
  </si>
  <si>
    <t>Cash</t>
  </si>
  <si>
    <t>ORD-002</t>
  </si>
  <si>
    <t>29/10/2024</t>
  </si>
  <si>
    <t>Airtel Money</t>
  </si>
  <si>
    <t>ORD-003</t>
  </si>
  <si>
    <t>26/06/2024</t>
  </si>
  <si>
    <t>M-Pesa</t>
  </si>
  <si>
    <t>ORD-004</t>
  </si>
  <si>
    <t>20/06/2024</t>
  </si>
  <si>
    <t>ORD-005</t>
  </si>
  <si>
    <t>04/09/2024</t>
  </si>
  <si>
    <t>ORD-006</t>
  </si>
  <si>
    <t>13/01/2024</t>
  </si>
  <si>
    <t>ORD-007</t>
  </si>
  <si>
    <t>24/03/2024</t>
  </si>
  <si>
    <t>ORD-008</t>
  </si>
  <si>
    <t>08/03/2024</t>
  </si>
  <si>
    <t>ORD-009</t>
  </si>
  <si>
    <t>26/07/2024</t>
  </si>
  <si>
    <t>Card</t>
  </si>
  <si>
    <t>ORD-010</t>
  </si>
  <si>
    <t>02/01/2024</t>
  </si>
  <si>
    <t>ORD-011</t>
  </si>
  <si>
    <t>19/03/2024</t>
  </si>
  <si>
    <t>ORD-012</t>
  </si>
  <si>
    <t>26/08/2024</t>
  </si>
  <si>
    <t>ORD-013</t>
  </si>
  <si>
    <t>18/04/2024</t>
  </si>
  <si>
    <t>ORD-014</t>
  </si>
  <si>
    <t>10/08/2024</t>
  </si>
  <si>
    <t>ORD-015</t>
  </si>
  <si>
    <t>23/11/2024</t>
  </si>
  <si>
    <t>ORD-016</t>
  </si>
  <si>
    <t>24/10/2024</t>
  </si>
  <si>
    <t>ORD-017</t>
  </si>
  <si>
    <t>17/05/2024</t>
  </si>
  <si>
    <t>ORD-018</t>
  </si>
  <si>
    <t>23/04/2024</t>
  </si>
  <si>
    <t>ORD-019</t>
  </si>
  <si>
    <t>06/03/2024</t>
  </si>
  <si>
    <t>ORD-020</t>
  </si>
  <si>
    <t>15/04/2024</t>
  </si>
  <si>
    <t>ORD-021</t>
  </si>
  <si>
    <t>15/05/2024</t>
  </si>
  <si>
    <t>ORD-022</t>
  </si>
  <si>
    <t>18/05/2024</t>
  </si>
  <si>
    <t>ORD-023</t>
  </si>
  <si>
    <t>03/04/2024</t>
  </si>
  <si>
    <t>ORD-024</t>
  </si>
  <si>
    <t>02/06/2024</t>
  </si>
  <si>
    <t>ORD-025</t>
  </si>
  <si>
    <t>22/01/2024</t>
  </si>
  <si>
    <t>ORD-026</t>
  </si>
  <si>
    <t>27/01/2024</t>
  </si>
  <si>
    <t>ORD-027</t>
  </si>
  <si>
    <t>16/08/2024</t>
  </si>
  <si>
    <t>ORD-028</t>
  </si>
  <si>
    <t>09/07/2024</t>
  </si>
  <si>
    <t>ORD-029</t>
  </si>
  <si>
    <t>12/05/2024</t>
  </si>
  <si>
    <t>ORD-030</t>
  </si>
  <si>
    <t>17/03/2024</t>
  </si>
  <si>
    <t>ORD-031</t>
  </si>
  <si>
    <t>31/05/2024</t>
  </si>
  <si>
    <t>ORD-032</t>
  </si>
  <si>
    <t>31/01/2024</t>
  </si>
  <si>
    <t>ORD-033</t>
  </si>
  <si>
    <t>29/08/2024</t>
  </si>
  <si>
    <t>ORD-034</t>
  </si>
  <si>
    <t>18/07/2024</t>
  </si>
  <si>
    <t>ORD-035</t>
  </si>
  <si>
    <t>03/08/2024</t>
  </si>
  <si>
    <t>ORD-036</t>
  </si>
  <si>
    <t>15/11/2024</t>
  </si>
  <si>
    <t>ORD-037</t>
  </si>
  <si>
    <t>09/10/2024</t>
  </si>
  <si>
    <t>ORD-038</t>
  </si>
  <si>
    <t>ORD-039</t>
  </si>
  <si>
    <t>10/02/2024</t>
  </si>
  <si>
    <t>ORD-040</t>
  </si>
  <si>
    <t>04/06/2024</t>
  </si>
  <si>
    <t>ORD-041</t>
  </si>
  <si>
    <t>17/02/2024</t>
  </si>
  <si>
    <t>ORD-042</t>
  </si>
  <si>
    <t>06/11/2024</t>
  </si>
  <si>
    <t>ORD-043</t>
  </si>
  <si>
    <t>18/12/2024</t>
  </si>
  <si>
    <t>ORD-044</t>
  </si>
  <si>
    <t>05/04/2024</t>
  </si>
  <si>
    <t>ORD-045</t>
  </si>
  <si>
    <t>08/06/2024</t>
  </si>
  <si>
    <t>ORD-046</t>
  </si>
  <si>
    <t>10/09/2024</t>
  </si>
  <si>
    <t>ORD-047</t>
  </si>
  <si>
    <t>09/06/2024</t>
  </si>
  <si>
    <t>ORD-048</t>
  </si>
  <si>
    <t>ORD-049</t>
  </si>
  <si>
    <t>ORD-050</t>
  </si>
  <si>
    <t>23/08/2024</t>
  </si>
  <si>
    <t>ORD-051</t>
  </si>
  <si>
    <t>10/04/2024</t>
  </si>
  <si>
    <t>ORD-052</t>
  </si>
  <si>
    <t>02/02/2024</t>
  </si>
  <si>
    <t>ORD-053</t>
  </si>
  <si>
    <t>07/01/2024</t>
  </si>
  <si>
    <t>ORD-054</t>
  </si>
  <si>
    <t>08/09/2024</t>
  </si>
  <si>
    <t>ORD-055</t>
  </si>
  <si>
    <t>24/02/2024</t>
  </si>
  <si>
    <t>ORD-056</t>
  </si>
  <si>
    <t>16/05/2024</t>
  </si>
  <si>
    <t>ORD-057</t>
  </si>
  <si>
    <t>20/05/2024</t>
  </si>
  <si>
    <t>ORD-058</t>
  </si>
  <si>
    <t>30/04/2024</t>
  </si>
  <si>
    <t>ORD-059</t>
  </si>
  <si>
    <t>06/06/2024</t>
  </si>
  <si>
    <t>ORD-060</t>
  </si>
  <si>
    <t>ORD-061</t>
  </si>
  <si>
    <t>ORD-062</t>
  </si>
  <si>
    <t>19/02/2024</t>
  </si>
  <si>
    <t>ORD-063</t>
  </si>
  <si>
    <t>16/06/2024</t>
  </si>
  <si>
    <t>ORD-064</t>
  </si>
  <si>
    <t>09/04/2024</t>
  </si>
  <si>
    <t>ORD-065</t>
  </si>
  <si>
    <t>ORD-066</t>
  </si>
  <si>
    <t>05/06/2024</t>
  </si>
  <si>
    <t>ORD-067</t>
  </si>
  <si>
    <t>03/11/2024</t>
  </si>
  <si>
    <t>ORD-068</t>
  </si>
  <si>
    <t>01/03/2024</t>
  </si>
  <si>
    <t>ORD-069</t>
  </si>
  <si>
    <t>ORD-070</t>
  </si>
  <si>
    <t>26/03/2024</t>
  </si>
  <si>
    <t>ORD-071</t>
  </si>
  <si>
    <t>31/10/2024</t>
  </si>
  <si>
    <t>ORD-072</t>
  </si>
  <si>
    <t>ORD-073</t>
  </si>
  <si>
    <t>08/05/2024</t>
  </si>
  <si>
    <t>ORD-074</t>
  </si>
  <si>
    <t>27/07/2024</t>
  </si>
  <si>
    <t>ORD-075</t>
  </si>
  <si>
    <t>12/01/2024</t>
  </si>
  <si>
    <t>ORD-076</t>
  </si>
  <si>
    <t>28/02/2024</t>
  </si>
  <si>
    <t>ORD-077</t>
  </si>
  <si>
    <t>08/04/2024</t>
  </si>
  <si>
    <t>ORD-078</t>
  </si>
  <si>
    <t>04/01/2024</t>
  </si>
  <si>
    <t>ORD-079</t>
  </si>
  <si>
    <t>03/10/2024</t>
  </si>
  <si>
    <t>ORD-080</t>
  </si>
  <si>
    <t>31/08/2024</t>
  </si>
  <si>
    <t>ORD-081</t>
  </si>
  <si>
    <t>04/03/2024</t>
  </si>
  <si>
    <t>ORD-082</t>
  </si>
  <si>
    <t>15/01/2024</t>
  </si>
  <si>
    <t>ORD-083</t>
  </si>
  <si>
    <t>ORD-084</t>
  </si>
  <si>
    <t>ORD-085</t>
  </si>
  <si>
    <t>27/11/2024</t>
  </si>
  <si>
    <t>ORD-086</t>
  </si>
  <si>
    <t>16/11/2024</t>
  </si>
  <si>
    <t>ORD-087</t>
  </si>
  <si>
    <t>ORD-088</t>
  </si>
  <si>
    <t>ORD-089</t>
  </si>
  <si>
    <t>15/12/2024</t>
  </si>
  <si>
    <t>ORD-090</t>
  </si>
  <si>
    <t>28/05/2024</t>
  </si>
  <si>
    <t>ORD-091</t>
  </si>
  <si>
    <t>24/09/2024</t>
  </si>
  <si>
    <t>ORD-092</t>
  </si>
  <si>
    <t>18/11/2024</t>
  </si>
  <si>
    <t>ORD-093</t>
  </si>
  <si>
    <t>16/01/2024</t>
  </si>
  <si>
    <t>ORD-094</t>
  </si>
  <si>
    <t>ORD-095</t>
  </si>
  <si>
    <t>ORD-096</t>
  </si>
  <si>
    <t>23/12/2024</t>
  </si>
  <si>
    <t>ORD-097</t>
  </si>
  <si>
    <t>01/05/2024</t>
  </si>
  <si>
    <t>ORD-098</t>
  </si>
  <si>
    <t>23/07/2024</t>
  </si>
  <si>
    <t>ORD-099</t>
  </si>
  <si>
    <t>ORD-100</t>
  </si>
  <si>
    <t>Mar</t>
  </si>
  <si>
    <t>Jul</t>
  </si>
  <si>
    <t>Row Labels</t>
  </si>
  <si>
    <t>Jan</t>
  </si>
  <si>
    <t>Feb</t>
  </si>
  <si>
    <t>Apr</t>
  </si>
  <si>
    <t>May</t>
  </si>
  <si>
    <t>Jun</t>
  </si>
  <si>
    <t>Aug</t>
  </si>
  <si>
    <t>Sept</t>
  </si>
  <si>
    <t>Oct</t>
  </si>
  <si>
    <t>Nov</t>
  </si>
  <si>
    <t>Dec</t>
  </si>
  <si>
    <t>Grand Total</t>
  </si>
  <si>
    <t>Sum of Revenue_KES</t>
  </si>
  <si>
    <t xml:space="preserve">                                 Kenya E-Commerce Revenue Dashboard 2024</t>
  </si>
  <si>
    <t>Total Revenue</t>
  </si>
  <si>
    <t>Total orders</t>
  </si>
  <si>
    <t>Total Products</t>
  </si>
  <si>
    <t>KEY PERFOMANCE INDICATORS</t>
  </si>
  <si>
    <t>KEY INSIGHTS</t>
  </si>
  <si>
    <t>Nairobi leads revenue at KES 1,234,995 — 33% of total. Focus marketing and stock here.</t>
  </si>
  <si>
    <t>February &amp; December are the weakest months. Consider discounts or campaigns to boost sales.</t>
  </si>
  <si>
    <t>Top month</t>
  </si>
  <si>
    <t xml:space="preserve"> Top City</t>
  </si>
  <si>
    <t xml:space="preserve"> Peak Month</t>
  </si>
  <si>
    <t xml:space="preserve"> Best Payment</t>
  </si>
  <si>
    <t xml:space="preserve"> Top Product</t>
  </si>
  <si>
    <t>Slow Month</t>
  </si>
  <si>
    <t xml:space="preserve"> Unsold Products</t>
  </si>
  <si>
    <t>PRD-016, PRD-019 &amp; PRD-022 had zero orders. No demand recorded</t>
  </si>
  <si>
    <t>PRD-013 (Ankara Dress) is the highest revenue product at KES 459,264. Major revenue driver</t>
  </si>
  <si>
    <t>Card &amp; M-Pesa together make up 59% of revenue. Digital payments dominate</t>
  </si>
  <si>
    <t>June is the strongest month (KES 620,237).Mid-year sale spike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</si>
</sst>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Ksh&quot;#,##0"/>
    <numFmt numFmtId="165" formatCode="m/d/yyyy"/>
  </numFmts>
  <fonts count="13" x14ac:knownFonts="1">
    <font>
      <sz val="11"/>
      <color theme="1"/>
      <name val="Calibri"/>
      <family val="2"/>
      <charset val="1"/>
    </font>
    <font>
      <b/>
      <sz val="11"/>
      <color theme="1"/>
      <name val="Calibri"/>
      <family val="2"/>
      <charset val="1"/>
    </font>
    <font>
      <b/>
      <sz val="11"/>
      <color rgb="FF000000"/>
      <name val="Cambria"/>
      <charset val="1"/>
    </font>
    <font>
      <sz val="11"/>
      <color rgb="FF000000"/>
      <name val="Cambria"/>
      <charset val="1"/>
    </font>
    <font>
      <sz val="11"/>
      <color theme="1"/>
      <name val="Calibri"/>
      <family val="2"/>
      <charset val="1"/>
    </font>
    <font>
      <b/>
      <sz val="11"/>
      <color theme="1"/>
      <name val="Cambria"/>
      <family val="1"/>
    </font>
    <font>
      <sz val="11"/>
      <color theme="1"/>
      <name val="Cambria"/>
      <family val="1"/>
    </font>
    <font>
      <sz val="16"/>
      <color theme="1"/>
      <name val="Calibri"/>
      <family val="2"/>
      <charset val="1"/>
    </font>
    <font>
      <sz val="24"/>
      <color theme="1"/>
      <name val="Times New Roman"/>
      <family val="1"/>
    </font>
    <font>
      <sz val="18"/>
      <color theme="1"/>
      <name val="Times New Roman"/>
      <family val="1"/>
    </font>
    <font>
      <b/>
      <sz val="13"/>
      <color rgb="FF1F4E79"/>
      <name val="Cambria"/>
      <family val="1"/>
    </font>
    <font>
      <b/>
      <sz val="11"/>
      <color rgb="FF1F4E79"/>
      <name val="Cambria"/>
      <family val="1"/>
    </font>
    <font>
      <sz val="11"/>
      <name val="Cambria"/>
      <family val="1"/>
    </font>
  </fonts>
  <fills count="10">
    <fill>
      <patternFill patternType="none"/>
    </fill>
    <fill>
      <patternFill patternType="gray125"/>
    </fill>
    <fill>
      <patternFill patternType="solid">
        <fgColor rgb="FFD9EAD3"/>
        <bgColor rgb="FFDCE6F2"/>
      </patternFill>
    </fill>
    <fill>
      <patternFill patternType="solid">
        <fgColor rgb="FFCFE2F3"/>
        <bgColor rgb="FFDCE6F2"/>
      </patternFill>
    </fill>
    <fill>
      <patternFill patternType="solid">
        <fgColor theme="3" tint="0.79998168889431442"/>
        <bgColor indexed="64"/>
      </patternFill>
    </fill>
    <fill>
      <patternFill patternType="solid">
        <fgColor rgb="FFBDD7EE"/>
        <bgColor rgb="FFC6D9F1"/>
      </patternFill>
    </fill>
    <fill>
      <patternFill patternType="solid">
        <fgColor theme="3" tint="0.79989013336588644"/>
        <bgColor rgb="FFBDD7EE"/>
      </patternFill>
    </fill>
    <fill>
      <patternFill patternType="solid">
        <fgColor rgb="FFEBF5FB"/>
        <bgColor rgb="FFF2F2F2"/>
      </patternFill>
    </fill>
    <fill>
      <patternFill patternType="solid">
        <fgColor rgb="FFFDFEFE"/>
        <bgColor rgb="FFFFFFFF"/>
      </patternFill>
    </fill>
    <fill>
      <patternFill patternType="solid">
        <fgColor theme="3"/>
        <bgColor indexed="64"/>
      </patternFill>
    </fill>
  </fills>
  <borders count="1">
    <border>
      <left/>
      <right/>
      <top/>
      <bottom/>
      <diagonal/>
    </border>
  </borders>
  <cellStyleXfs count="7">
    <xf numFmtId="0" fontId="0" fillId="0" borderId="0"/>
    <xf numFmtId="0" fontId="4" fillId="0" borderId="0" applyBorder="0" applyProtection="0"/>
    <xf numFmtId="0" fontId="4" fillId="0" borderId="0" applyBorder="0" applyProtection="0"/>
    <xf numFmtId="0" fontId="4" fillId="0" borderId="0" applyBorder="0" applyProtection="0"/>
    <xf numFmtId="0" fontId="4" fillId="0" borderId="0" applyBorder="0" applyProtection="0">
      <alignment horizontal="left"/>
    </xf>
    <xf numFmtId="0" fontId="1" fillId="0" borderId="0" applyBorder="0" applyProtection="0">
      <alignment horizontal="left"/>
    </xf>
    <xf numFmtId="0" fontId="1" fillId="0" borderId="0" applyBorder="0" applyProtection="0"/>
  </cellStyleXfs>
  <cellXfs count="22">
    <xf numFmtId="0" fontId="0" fillId="0" borderId="0" xfId="0"/>
    <xf numFmtId="2" fontId="0" fillId="0" borderId="0" xfId="0" applyNumberFormat="1"/>
    <xf numFmtId="164" fontId="0" fillId="0" borderId="0" xfId="0" applyNumberFormat="1"/>
    <xf numFmtId="0" fontId="0" fillId="0" borderId="0" xfId="0" applyFont="1"/>
    <xf numFmtId="0" fontId="2" fillId="3" borderId="0" xfId="0" applyFont="1" applyFill="1" applyAlignment="1">
      <alignment horizontal="center"/>
    </xf>
    <xf numFmtId="165" fontId="0" fillId="0" borderId="0" xfId="0" applyNumberFormat="1" applyFont="1"/>
    <xf numFmtId="0" fontId="3" fillId="0" borderId="0" xfId="0" applyFont="1"/>
    <xf numFmtId="0" fontId="0" fillId="0" borderId="0" xfId="0" applyAlignment="1">
      <alignment horizontal="left"/>
    </xf>
    <xf numFmtId="0" fontId="5" fillId="2" borderId="0" xfId="0" applyFont="1" applyFill="1" applyAlignment="1">
      <alignment horizontal="center"/>
    </xf>
    <xf numFmtId="0" fontId="6" fillId="0" borderId="0" xfId="0" applyFont="1"/>
    <xf numFmtId="0" fontId="0" fillId="0" borderId="0" xfId="0" pivotButton="1"/>
    <xf numFmtId="0" fontId="0" fillId="0" borderId="0" xfId="0" applyNumberFormat="1"/>
    <xf numFmtId="0" fontId="0" fillId="4" borderId="0" xfId="0" applyFill="1"/>
    <xf numFmtId="0" fontId="7" fillId="4" borderId="0" xfId="0" applyFont="1" applyFill="1"/>
    <xf numFmtId="0" fontId="9" fillId="4" borderId="0" xfId="0" applyFont="1" applyFill="1"/>
    <xf numFmtId="0" fontId="8" fillId="4" borderId="0" xfId="0" applyFont="1" applyFill="1" applyAlignment="1"/>
    <xf numFmtId="0" fontId="7" fillId="4" borderId="0" xfId="0" applyFont="1" applyFill="1" applyAlignment="1">
      <alignment horizontal="center"/>
    </xf>
    <xf numFmtId="0" fontId="0" fillId="6" borderId="0" xfId="0" applyFill="1" applyAlignment="1"/>
    <xf numFmtId="0" fontId="7" fillId="9" borderId="0" xfId="0" applyFont="1" applyFill="1" applyAlignment="1">
      <alignment horizontal="right"/>
    </xf>
    <xf numFmtId="0" fontId="10" fillId="5" borderId="0" xfId="0" applyFont="1" applyFill="1" applyAlignment="1"/>
    <xf numFmtId="0" fontId="11" fillId="7" borderId="0" xfId="0" applyFont="1" applyFill="1" applyAlignment="1">
      <alignment horizontal="left" vertical="center" wrapText="1"/>
    </xf>
    <xf numFmtId="0" fontId="12" fillId="8" borderId="0" xfId="0" applyFont="1" applyFill="1" applyAlignment="1">
      <alignment horizontal="left" vertical="center" wrapText="1"/>
    </xf>
  </cellXfs>
  <cellStyles count="7">
    <cellStyle name="Normal" xfId="0" builtinId="0"/>
    <cellStyle name="Pivot Table Category" xfId="4"/>
    <cellStyle name="Pivot Table Corner" xfId="1"/>
    <cellStyle name="Pivot Table Field" xfId="3"/>
    <cellStyle name="Pivot Table Result" xfId="6"/>
    <cellStyle name="Pivot Table Title" xfId="5"/>
    <cellStyle name="Pivot Table Value" xfId="2"/>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C0504D"/>
      <rgbColor rgb="FFEBF1DE"/>
      <rgbColor rgb="FFDCE6F2"/>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E6E0EC"/>
      <rgbColor rgb="FFD9EAD3"/>
      <rgbColor rgb="FFFFFF99"/>
      <rgbColor rgb="FFD9D9D9"/>
      <rgbColor rgb="FFFF99CC"/>
      <rgbColor rgb="FFCC99FF"/>
      <rgbColor rgb="FFF2DCDB"/>
      <rgbColor rgb="FF4F81BD"/>
      <rgbColor rgb="FF33CCCC"/>
      <rgbColor rgb="FF9BBB59"/>
      <rgbColor rgb="FFFFCC00"/>
      <rgbColor rgb="FFFF9900"/>
      <rgbColor rgb="FFFF6600"/>
      <rgbColor rgb="FF8064A2"/>
      <rgbColor rgb="FF969696"/>
      <rgbColor rgb="FF17375E"/>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cat>
            <c:strRef>
              <c:f>'pivot table'!$A$2:$A$14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table'!$B$2:$B$14</c:f>
              <c:numCache>
                <c:formatCode>General</c:formatCode>
                <c:ptCount val="12"/>
                <c:pt idx="0">
                  <c:v>509580</c:v>
                </c:pt>
                <c:pt idx="1">
                  <c:v>166307</c:v>
                </c:pt>
                <c:pt idx="2">
                  <c:v>319770</c:v>
                </c:pt>
                <c:pt idx="3">
                  <c:v>470015</c:v>
                </c:pt>
                <c:pt idx="4">
                  <c:v>387405</c:v>
                </c:pt>
                <c:pt idx="5">
                  <c:v>620237</c:v>
                </c:pt>
                <c:pt idx="6">
                  <c:v>214014</c:v>
                </c:pt>
                <c:pt idx="7">
                  <c:v>411743</c:v>
                </c:pt>
                <c:pt idx="8">
                  <c:v>84698</c:v>
                </c:pt>
                <c:pt idx="9">
                  <c:v>232181</c:v>
                </c:pt>
                <c:pt idx="10">
                  <c:v>274414</c:v>
                </c:pt>
                <c:pt idx="11">
                  <c:v>80313</c:v>
                </c:pt>
              </c:numCache>
            </c:numRef>
          </c:val>
          <c:extLst>
            <c:ext xmlns:c16="http://schemas.microsoft.com/office/drawing/2014/chart" uri="{C3380CC4-5D6E-409C-BE32-E72D297353CC}">
              <c16:uniqueId val="{00000000-569C-4848-A0E4-DA2B5A44266D}"/>
            </c:ext>
          </c:extLst>
        </c:ser>
        <c:dLbls>
          <c:showLegendKey val="0"/>
          <c:showVal val="0"/>
          <c:showCatName val="0"/>
          <c:showSerName val="0"/>
          <c:showPercent val="0"/>
          <c:showBubbleSize val="0"/>
        </c:dLbls>
        <c:gapWidth val="219"/>
        <c:overlap val="-27"/>
        <c:axId val="1335141343"/>
        <c:axId val="1335147167"/>
      </c:barChart>
      <c:catAx>
        <c:axId val="133514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147167"/>
        <c:crosses val="autoZero"/>
        <c:auto val="1"/>
        <c:lblAlgn val="ctr"/>
        <c:lblOffset val="100"/>
        <c:noMultiLvlLbl val="0"/>
      </c:catAx>
      <c:valAx>
        <c:axId val="133514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1413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table'!$A$21:$A$25</c:f>
              <c:strCache>
                <c:ptCount val="4"/>
                <c:pt idx="0">
                  <c:v>Airtel Money</c:v>
                </c:pt>
                <c:pt idx="1">
                  <c:v>Card</c:v>
                </c:pt>
                <c:pt idx="2">
                  <c:v>Cash</c:v>
                </c:pt>
                <c:pt idx="3">
                  <c:v>M-Pesa</c:v>
                </c:pt>
              </c:strCache>
            </c:strRef>
          </c:cat>
          <c:val>
            <c:numRef>
              <c:f>'pivot table'!$B$21:$B$25</c:f>
              <c:numCache>
                <c:formatCode>General</c:formatCode>
                <c:ptCount val="4"/>
                <c:pt idx="0">
                  <c:v>652276</c:v>
                </c:pt>
                <c:pt idx="1">
                  <c:v>1114621</c:v>
                </c:pt>
                <c:pt idx="2">
                  <c:v>893559</c:v>
                </c:pt>
                <c:pt idx="3">
                  <c:v>1110221</c:v>
                </c:pt>
              </c:numCache>
            </c:numRef>
          </c:val>
          <c:extLst>
            <c:ext xmlns:c16="http://schemas.microsoft.com/office/drawing/2014/chart" uri="{C3380CC4-5D6E-409C-BE32-E72D297353CC}">
              <c16:uniqueId val="{00000000-EA7B-4C39-A520-35EF225F815C}"/>
            </c:ext>
          </c:extLst>
        </c:ser>
        <c:dLbls>
          <c:showLegendKey val="0"/>
          <c:showVal val="0"/>
          <c:showCatName val="0"/>
          <c:showSerName val="0"/>
          <c:showPercent val="0"/>
          <c:showBubbleSize val="0"/>
        </c:dLbls>
        <c:gapWidth val="219"/>
        <c:overlap val="-27"/>
        <c:axId val="1320439583"/>
        <c:axId val="1320425855"/>
      </c:barChart>
      <c:catAx>
        <c:axId val="132043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425855"/>
        <c:crosses val="autoZero"/>
        <c:auto val="1"/>
        <c:lblAlgn val="ctr"/>
        <c:lblOffset val="100"/>
        <c:noMultiLvlLbl val="0"/>
      </c:catAx>
      <c:valAx>
        <c:axId val="132042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4395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table'!$A$36:$A$41</c:f>
              <c:strCache>
                <c:ptCount val="5"/>
                <c:pt idx="0">
                  <c:v>Eldoret</c:v>
                </c:pt>
                <c:pt idx="1">
                  <c:v>Kisumu</c:v>
                </c:pt>
                <c:pt idx="2">
                  <c:v>Mombasa</c:v>
                </c:pt>
                <c:pt idx="3">
                  <c:v>Nairobi</c:v>
                </c:pt>
                <c:pt idx="4">
                  <c:v>Nakuru</c:v>
                </c:pt>
              </c:strCache>
            </c:strRef>
          </c:cat>
          <c:val>
            <c:numRef>
              <c:f>'pivot table'!$B$36:$B$41</c:f>
              <c:numCache>
                <c:formatCode>General</c:formatCode>
                <c:ptCount val="5"/>
                <c:pt idx="0">
                  <c:v>426138</c:v>
                </c:pt>
                <c:pt idx="1">
                  <c:v>784454</c:v>
                </c:pt>
                <c:pt idx="2">
                  <c:v>737090</c:v>
                </c:pt>
                <c:pt idx="3">
                  <c:v>1234995</c:v>
                </c:pt>
                <c:pt idx="4">
                  <c:v>588000</c:v>
                </c:pt>
              </c:numCache>
            </c:numRef>
          </c:val>
          <c:extLst>
            <c:ext xmlns:c16="http://schemas.microsoft.com/office/drawing/2014/chart" uri="{C3380CC4-5D6E-409C-BE32-E72D297353CC}">
              <c16:uniqueId val="{00000000-8D89-4CBA-BCB0-11D5EBB1335F}"/>
            </c:ext>
          </c:extLst>
        </c:ser>
        <c:dLbls>
          <c:showLegendKey val="0"/>
          <c:showVal val="0"/>
          <c:showCatName val="0"/>
          <c:showSerName val="0"/>
          <c:showPercent val="0"/>
          <c:showBubbleSize val="0"/>
        </c:dLbls>
        <c:gapWidth val="219"/>
        <c:overlap val="-27"/>
        <c:axId val="1838977679"/>
        <c:axId val="1838973519"/>
      </c:barChart>
      <c:catAx>
        <c:axId val="183897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73519"/>
        <c:crosses val="autoZero"/>
        <c:auto val="1"/>
        <c:lblAlgn val="ctr"/>
        <c:lblOffset val="100"/>
        <c:noMultiLvlLbl val="0"/>
      </c:catAx>
      <c:valAx>
        <c:axId val="1838973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9776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table'!$A$51:$A$78</c:f>
              <c:strCache>
                <c:ptCount val="27"/>
                <c:pt idx="0">
                  <c:v>PRD-001</c:v>
                </c:pt>
                <c:pt idx="1">
                  <c:v>PRD-002</c:v>
                </c:pt>
                <c:pt idx="2">
                  <c:v>PRD-003</c:v>
                </c:pt>
                <c:pt idx="3">
                  <c:v>PRD-004</c:v>
                </c:pt>
                <c:pt idx="4">
                  <c:v>PRD-005</c:v>
                </c:pt>
                <c:pt idx="5">
                  <c:v>PRD-006</c:v>
                </c:pt>
                <c:pt idx="6">
                  <c:v>PRD-007</c:v>
                </c:pt>
                <c:pt idx="7">
                  <c:v>PRD-008</c:v>
                </c:pt>
                <c:pt idx="8">
                  <c:v>PRD-009</c:v>
                </c:pt>
                <c:pt idx="9">
                  <c:v>PRD-010</c:v>
                </c:pt>
                <c:pt idx="10">
                  <c:v>PRD-011</c:v>
                </c:pt>
                <c:pt idx="11">
                  <c:v>PRD-012</c:v>
                </c:pt>
                <c:pt idx="12">
                  <c:v>PRD-013</c:v>
                </c:pt>
                <c:pt idx="13">
                  <c:v>PRD-014</c:v>
                </c:pt>
                <c:pt idx="14">
                  <c:v>PRD-015</c:v>
                </c:pt>
                <c:pt idx="15">
                  <c:v>PRD-017</c:v>
                </c:pt>
                <c:pt idx="16">
                  <c:v>PRD-018</c:v>
                </c:pt>
                <c:pt idx="17">
                  <c:v>PRD-020</c:v>
                </c:pt>
                <c:pt idx="18">
                  <c:v>PRD-021</c:v>
                </c:pt>
                <c:pt idx="19">
                  <c:v>PRD-023</c:v>
                </c:pt>
                <c:pt idx="20">
                  <c:v>PRD-024</c:v>
                </c:pt>
                <c:pt idx="21">
                  <c:v>PRD-025</c:v>
                </c:pt>
                <c:pt idx="22">
                  <c:v>PRD-026</c:v>
                </c:pt>
                <c:pt idx="23">
                  <c:v>PRD-027</c:v>
                </c:pt>
                <c:pt idx="24">
                  <c:v>PRD-028</c:v>
                </c:pt>
                <c:pt idx="25">
                  <c:v>PRD-029</c:v>
                </c:pt>
                <c:pt idx="26">
                  <c:v>PRD-030</c:v>
                </c:pt>
              </c:strCache>
            </c:strRef>
          </c:cat>
          <c:val>
            <c:numRef>
              <c:f>'pivot table'!$B$51:$B$78</c:f>
              <c:numCache>
                <c:formatCode>General</c:formatCode>
                <c:ptCount val="27"/>
                <c:pt idx="0">
                  <c:v>1780</c:v>
                </c:pt>
                <c:pt idx="1">
                  <c:v>119298</c:v>
                </c:pt>
                <c:pt idx="2">
                  <c:v>34740</c:v>
                </c:pt>
                <c:pt idx="3">
                  <c:v>457964</c:v>
                </c:pt>
                <c:pt idx="4">
                  <c:v>124250</c:v>
                </c:pt>
                <c:pt idx="5">
                  <c:v>95543</c:v>
                </c:pt>
                <c:pt idx="6">
                  <c:v>127875</c:v>
                </c:pt>
                <c:pt idx="7">
                  <c:v>343584</c:v>
                </c:pt>
                <c:pt idx="8">
                  <c:v>31852</c:v>
                </c:pt>
                <c:pt idx="9">
                  <c:v>180120</c:v>
                </c:pt>
                <c:pt idx="10">
                  <c:v>45936</c:v>
                </c:pt>
                <c:pt idx="11">
                  <c:v>177795</c:v>
                </c:pt>
                <c:pt idx="12">
                  <c:v>459264</c:v>
                </c:pt>
                <c:pt idx="13">
                  <c:v>129328</c:v>
                </c:pt>
                <c:pt idx="14">
                  <c:v>85585</c:v>
                </c:pt>
                <c:pt idx="15">
                  <c:v>33050</c:v>
                </c:pt>
                <c:pt idx="16">
                  <c:v>90624</c:v>
                </c:pt>
                <c:pt idx="17">
                  <c:v>61698</c:v>
                </c:pt>
                <c:pt idx="18">
                  <c:v>79878</c:v>
                </c:pt>
                <c:pt idx="19">
                  <c:v>245205</c:v>
                </c:pt>
                <c:pt idx="20">
                  <c:v>245776</c:v>
                </c:pt>
                <c:pt idx="21">
                  <c:v>60485</c:v>
                </c:pt>
                <c:pt idx="22">
                  <c:v>149974</c:v>
                </c:pt>
                <c:pt idx="23">
                  <c:v>71748</c:v>
                </c:pt>
                <c:pt idx="24">
                  <c:v>36127</c:v>
                </c:pt>
                <c:pt idx="25">
                  <c:v>80960</c:v>
                </c:pt>
                <c:pt idx="26">
                  <c:v>200238</c:v>
                </c:pt>
              </c:numCache>
            </c:numRef>
          </c:val>
          <c:extLst>
            <c:ext xmlns:c16="http://schemas.microsoft.com/office/drawing/2014/chart" uri="{C3380CC4-5D6E-409C-BE32-E72D297353CC}">
              <c16:uniqueId val="{00000001-89BC-4436-B3CD-F89FAFB6C95B}"/>
            </c:ext>
          </c:extLst>
        </c:ser>
        <c:dLbls>
          <c:showLegendKey val="0"/>
          <c:showVal val="0"/>
          <c:showCatName val="0"/>
          <c:showSerName val="0"/>
          <c:showPercent val="0"/>
          <c:showBubbleSize val="0"/>
        </c:dLbls>
        <c:gapWidth val="219"/>
        <c:overlap val="-27"/>
        <c:axId val="2053524959"/>
        <c:axId val="2053510815"/>
      </c:barChart>
      <c:catAx>
        <c:axId val="2053524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10815"/>
        <c:crosses val="autoZero"/>
        <c:auto val="1"/>
        <c:lblAlgn val="ctr"/>
        <c:lblOffset val="100"/>
        <c:noMultiLvlLbl val="0"/>
      </c:catAx>
      <c:valAx>
        <c:axId val="2053510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35249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table!PivotTable1</c:name>
    <c:fmtId val="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400">
                <a:latin typeface="Times New Roman" panose="02020603050405020304" pitchFamily="18" charset="0"/>
                <a:cs typeface="Times New Roman" panose="02020603050405020304" pitchFamily="18" charset="0"/>
              </a:rPr>
              <a:t>Which Month Generated the Most Revenue</a:t>
            </a:r>
          </a:p>
        </c:rich>
      </c:tx>
      <c:layout>
        <c:manualLayout>
          <c:xMode val="edge"/>
          <c:yMode val="edge"/>
          <c:x val="0.15806274078150798"/>
          <c:y val="0.13233339092591553"/>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'pivot table'!$B$1</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strRef>
              <c:f>'pivot table'!$A$2:$A$14</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table'!$B$2:$B$14</c:f>
              <c:numCache>
                <c:formatCode>General</c:formatCode>
                <c:ptCount val="12"/>
                <c:pt idx="0">
                  <c:v>509580</c:v>
                </c:pt>
                <c:pt idx="1">
                  <c:v>166307</c:v>
                </c:pt>
                <c:pt idx="2">
                  <c:v>319770</c:v>
                </c:pt>
                <c:pt idx="3">
                  <c:v>470015</c:v>
                </c:pt>
                <c:pt idx="4">
                  <c:v>387405</c:v>
                </c:pt>
                <c:pt idx="5">
                  <c:v>620237</c:v>
                </c:pt>
                <c:pt idx="6">
                  <c:v>214014</c:v>
                </c:pt>
                <c:pt idx="7">
                  <c:v>411743</c:v>
                </c:pt>
                <c:pt idx="8">
                  <c:v>84698</c:v>
                </c:pt>
                <c:pt idx="9">
                  <c:v>232181</c:v>
                </c:pt>
                <c:pt idx="10">
                  <c:v>274414</c:v>
                </c:pt>
                <c:pt idx="11">
                  <c:v>80313</c:v>
                </c:pt>
              </c:numCache>
            </c:numRef>
          </c:val>
          <c:smooth val="0"/>
          <c:extLst>
            <c:ext xmlns:c16="http://schemas.microsoft.com/office/drawing/2014/chart" uri="{C3380CC4-5D6E-409C-BE32-E72D297353CC}">
              <c16:uniqueId val="{00000000-C4E1-442E-B7F4-12DCF4E05093}"/>
            </c:ext>
          </c:extLst>
        </c:ser>
        <c:dLbls>
          <c:showLegendKey val="0"/>
          <c:showVal val="0"/>
          <c:showCatName val="0"/>
          <c:showSerName val="0"/>
          <c:showPercent val="0"/>
          <c:showBubbleSize val="0"/>
        </c:dLbls>
        <c:marker val="1"/>
        <c:smooth val="0"/>
        <c:axId val="1335141343"/>
        <c:axId val="1335147167"/>
      </c:lineChart>
      <c:catAx>
        <c:axId val="133514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35147167"/>
        <c:crosses val="autoZero"/>
        <c:auto val="1"/>
        <c:lblAlgn val="ctr"/>
        <c:lblOffset val="100"/>
        <c:noMultiLvlLbl val="0"/>
      </c:catAx>
      <c:valAx>
        <c:axId val="133514716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14134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table!PivotTable3</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a:latin typeface="Times New Roman" panose="02020603050405020304" pitchFamily="18" charset="0"/>
                <a:cs typeface="Times New Roman" panose="02020603050405020304" pitchFamily="18" charset="0"/>
              </a:rPr>
              <a:t>What Payment method DRIVES MOST REVENUE</a:t>
            </a:r>
          </a:p>
        </c:rich>
      </c:tx>
      <c:layout>
        <c:manualLayout>
          <c:xMode val="edge"/>
          <c:yMode val="edge"/>
          <c:x val="0.15411243052638895"/>
          <c:y val="0.10317848813253715"/>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31301334208223974"/>
          <c:y val="0.24476633129192185"/>
          <c:w val="0.41147353455818025"/>
          <c:h val="0.68578922426363376"/>
        </c:manualLayout>
      </c:layout>
      <c:pieChart>
        <c:varyColors val="1"/>
        <c:ser>
          <c:idx val="0"/>
          <c:order val="0"/>
          <c:tx>
            <c:strRef>
              <c:f>'pivot table'!$B$20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61-4B33-ACC3-21C5F321075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61-4B33-ACC3-21C5F321075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D61-4B33-ACC3-21C5F321075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table'!$A$21:$A$25</c:f>
              <c:strCache>
                <c:ptCount val="4"/>
                <c:pt idx="0">
                  <c:v>Airtel Money</c:v>
                </c:pt>
                <c:pt idx="1">
                  <c:v>Card</c:v>
                </c:pt>
                <c:pt idx="2">
                  <c:v>Cash</c:v>
                </c:pt>
                <c:pt idx="3">
                  <c:v>M-Pesa</c:v>
                </c:pt>
              </c:strCache>
            </c:strRef>
          </c:cat>
          <c:val>
            <c:numRef>
              <c:f>'pivot table'!$B$21:$B$25</c:f>
              <c:numCache>
                <c:formatCode>General</c:formatCode>
                <c:ptCount val="4"/>
                <c:pt idx="0">
                  <c:v>652276</c:v>
                </c:pt>
                <c:pt idx="1">
                  <c:v>1114621</c:v>
                </c:pt>
                <c:pt idx="2">
                  <c:v>893559</c:v>
                </c:pt>
                <c:pt idx="3">
                  <c:v>1110221</c:v>
                </c:pt>
              </c:numCache>
            </c:numRef>
          </c:val>
          <c:extLst>
            <c:ext xmlns:c16="http://schemas.microsoft.com/office/drawing/2014/chart" uri="{C3380CC4-5D6E-409C-BE32-E72D297353CC}">
              <c16:uniqueId val="{00000000-6AE3-4DEC-9598-F943D97520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table!PivotTable4</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latin typeface="Times New Roman" panose="02020603050405020304" pitchFamily="18" charset="0"/>
                <a:cs typeface="Times New Roman" panose="02020603050405020304" pitchFamily="18" charset="0"/>
              </a:rPr>
              <a:t>Which city has the most orders</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spPr>
          <a:solidFill>
            <a:schemeClr val="accent1"/>
          </a:solidFill>
          <a:ln>
            <a:noFill/>
          </a:ln>
          <a:effectLst/>
        </c:spPr>
        <c:marker>
          <c:symbol val="none"/>
        </c:marker>
      </c:pivotFmt>
    </c:pivotFmts>
    <c:plotArea>
      <c:layout>
        <c:manualLayout>
          <c:layoutTarget val="inner"/>
          <c:xMode val="edge"/>
          <c:yMode val="edge"/>
          <c:x val="0.13824759405074366"/>
          <c:y val="0.24939596092155147"/>
          <c:w val="0.72312270341207352"/>
          <c:h val="0.53774387576552929"/>
        </c:manualLayout>
      </c:layout>
      <c:barChart>
        <c:barDir val="col"/>
        <c:grouping val="clustered"/>
        <c:varyColors val="0"/>
        <c:ser>
          <c:idx val="0"/>
          <c:order val="0"/>
          <c:tx>
            <c:strRef>
              <c:f>'pivot table'!$B$35</c:f>
              <c:strCache>
                <c:ptCount val="1"/>
                <c:pt idx="0">
                  <c:v>Total</c:v>
                </c:pt>
              </c:strCache>
            </c:strRef>
          </c:tx>
          <c:spPr>
            <a:solidFill>
              <a:schemeClr val="accent1"/>
            </a:solidFill>
            <a:ln>
              <a:noFill/>
            </a:ln>
            <a:effectLst/>
          </c:spPr>
          <c:invertIfNegative val="0"/>
          <c:cat>
            <c:strRef>
              <c:f>'pivot table'!$A$36:$A$41</c:f>
              <c:strCache>
                <c:ptCount val="5"/>
                <c:pt idx="0">
                  <c:v>Eldoret</c:v>
                </c:pt>
                <c:pt idx="1">
                  <c:v>Kisumu</c:v>
                </c:pt>
                <c:pt idx="2">
                  <c:v>Mombasa</c:v>
                </c:pt>
                <c:pt idx="3">
                  <c:v>Nairobi</c:v>
                </c:pt>
                <c:pt idx="4">
                  <c:v>Nakuru</c:v>
                </c:pt>
              </c:strCache>
            </c:strRef>
          </c:cat>
          <c:val>
            <c:numRef>
              <c:f>'pivot table'!$B$36:$B$41</c:f>
              <c:numCache>
                <c:formatCode>General</c:formatCode>
                <c:ptCount val="5"/>
                <c:pt idx="0">
                  <c:v>426138</c:v>
                </c:pt>
                <c:pt idx="1">
                  <c:v>784454</c:v>
                </c:pt>
                <c:pt idx="2">
                  <c:v>737090</c:v>
                </c:pt>
                <c:pt idx="3">
                  <c:v>1234995</c:v>
                </c:pt>
                <c:pt idx="4">
                  <c:v>588000</c:v>
                </c:pt>
              </c:numCache>
            </c:numRef>
          </c:val>
          <c:extLst>
            <c:ext xmlns:c16="http://schemas.microsoft.com/office/drawing/2014/chart" uri="{C3380CC4-5D6E-409C-BE32-E72D297353CC}">
              <c16:uniqueId val="{00000000-EF0F-4E45-B33E-90A06426D0F8}"/>
            </c:ext>
          </c:extLst>
        </c:ser>
        <c:dLbls>
          <c:showLegendKey val="0"/>
          <c:showVal val="0"/>
          <c:showCatName val="0"/>
          <c:showSerName val="0"/>
          <c:showPercent val="0"/>
          <c:showBubbleSize val="0"/>
        </c:dLbls>
        <c:gapWidth val="267"/>
        <c:overlap val="-43"/>
        <c:axId val="1838977679"/>
        <c:axId val="1838973519"/>
      </c:barChart>
      <c:catAx>
        <c:axId val="183897767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838973519"/>
        <c:crosses val="autoZero"/>
        <c:auto val="1"/>
        <c:lblAlgn val="ctr"/>
        <c:lblOffset val="100"/>
        <c:noMultiLvlLbl val="0"/>
      </c:catAx>
      <c:valAx>
        <c:axId val="183897351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38977679"/>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[Kenya_Ecommerce_Dataset (2) (Autosaved).xlsx]pivot table!PivotTable5</c:name>
    <c:fmtId val="3"/>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Top product generating most revenue</a:t>
            </a:r>
          </a:p>
        </c:rich>
      </c:tx>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table'!$A$51:$A$78</c:f>
              <c:strCache>
                <c:ptCount val="27"/>
                <c:pt idx="0">
                  <c:v>PRD-001</c:v>
                </c:pt>
                <c:pt idx="1">
                  <c:v>PRD-002</c:v>
                </c:pt>
                <c:pt idx="2">
                  <c:v>PRD-003</c:v>
                </c:pt>
                <c:pt idx="3">
                  <c:v>PRD-004</c:v>
                </c:pt>
                <c:pt idx="4">
                  <c:v>PRD-005</c:v>
                </c:pt>
                <c:pt idx="5">
                  <c:v>PRD-006</c:v>
                </c:pt>
                <c:pt idx="6">
                  <c:v>PRD-007</c:v>
                </c:pt>
                <c:pt idx="7">
                  <c:v>PRD-008</c:v>
                </c:pt>
                <c:pt idx="8">
                  <c:v>PRD-009</c:v>
                </c:pt>
                <c:pt idx="9">
                  <c:v>PRD-010</c:v>
                </c:pt>
                <c:pt idx="10">
                  <c:v>PRD-011</c:v>
                </c:pt>
                <c:pt idx="11">
                  <c:v>PRD-012</c:v>
                </c:pt>
                <c:pt idx="12">
                  <c:v>PRD-013</c:v>
                </c:pt>
                <c:pt idx="13">
                  <c:v>PRD-014</c:v>
                </c:pt>
                <c:pt idx="14">
                  <c:v>PRD-015</c:v>
                </c:pt>
                <c:pt idx="15">
                  <c:v>PRD-017</c:v>
                </c:pt>
                <c:pt idx="16">
                  <c:v>PRD-018</c:v>
                </c:pt>
                <c:pt idx="17">
                  <c:v>PRD-020</c:v>
                </c:pt>
                <c:pt idx="18">
                  <c:v>PRD-021</c:v>
                </c:pt>
                <c:pt idx="19">
                  <c:v>PRD-023</c:v>
                </c:pt>
                <c:pt idx="20">
                  <c:v>PRD-024</c:v>
                </c:pt>
                <c:pt idx="21">
                  <c:v>PRD-025</c:v>
                </c:pt>
                <c:pt idx="22">
                  <c:v>PRD-026</c:v>
                </c:pt>
                <c:pt idx="23">
                  <c:v>PRD-027</c:v>
                </c:pt>
                <c:pt idx="24">
                  <c:v>PRD-028</c:v>
                </c:pt>
                <c:pt idx="25">
                  <c:v>PRD-029</c:v>
                </c:pt>
                <c:pt idx="26">
                  <c:v>PRD-030</c:v>
                </c:pt>
              </c:strCache>
            </c:strRef>
          </c:cat>
          <c:val>
            <c:numRef>
              <c:f>'pivot table'!$B$51:$B$78</c:f>
              <c:numCache>
                <c:formatCode>General</c:formatCode>
                <c:ptCount val="27"/>
                <c:pt idx="0">
                  <c:v>1780</c:v>
                </c:pt>
                <c:pt idx="1">
                  <c:v>119298</c:v>
                </c:pt>
                <c:pt idx="2">
                  <c:v>34740</c:v>
                </c:pt>
                <c:pt idx="3">
                  <c:v>457964</c:v>
                </c:pt>
                <c:pt idx="4">
                  <c:v>124250</c:v>
                </c:pt>
                <c:pt idx="5">
                  <c:v>95543</c:v>
                </c:pt>
                <c:pt idx="6">
                  <c:v>127875</c:v>
                </c:pt>
                <c:pt idx="7">
                  <c:v>343584</c:v>
                </c:pt>
                <c:pt idx="8">
                  <c:v>31852</c:v>
                </c:pt>
                <c:pt idx="9">
                  <c:v>180120</c:v>
                </c:pt>
                <c:pt idx="10">
                  <c:v>45936</c:v>
                </c:pt>
                <c:pt idx="11">
                  <c:v>177795</c:v>
                </c:pt>
                <c:pt idx="12">
                  <c:v>459264</c:v>
                </c:pt>
                <c:pt idx="13">
                  <c:v>129328</c:v>
                </c:pt>
                <c:pt idx="14">
                  <c:v>85585</c:v>
                </c:pt>
                <c:pt idx="15">
                  <c:v>33050</c:v>
                </c:pt>
                <c:pt idx="16">
                  <c:v>90624</c:v>
                </c:pt>
                <c:pt idx="17">
                  <c:v>61698</c:v>
                </c:pt>
                <c:pt idx="18">
                  <c:v>79878</c:v>
                </c:pt>
                <c:pt idx="19">
                  <c:v>245205</c:v>
                </c:pt>
                <c:pt idx="20">
                  <c:v>245776</c:v>
                </c:pt>
                <c:pt idx="21">
                  <c:v>60485</c:v>
                </c:pt>
                <c:pt idx="22">
                  <c:v>149974</c:v>
                </c:pt>
                <c:pt idx="23">
                  <c:v>71748</c:v>
                </c:pt>
                <c:pt idx="24">
                  <c:v>36127</c:v>
                </c:pt>
                <c:pt idx="25">
                  <c:v>80960</c:v>
                </c:pt>
                <c:pt idx="26">
                  <c:v>200238</c:v>
                </c:pt>
              </c:numCache>
            </c:numRef>
          </c:val>
          <c:extLst>
            <c:ext xmlns:c16="http://schemas.microsoft.com/office/drawing/2014/chart" uri="{C3380CC4-5D6E-409C-BE32-E72D297353CC}">
              <c16:uniqueId val="{00000000-6317-4D0E-9CA6-B2032AC6B9B3}"/>
            </c:ext>
          </c:extLst>
        </c:ser>
        <c:dLbls>
          <c:showLegendKey val="0"/>
          <c:showVal val="0"/>
          <c:showCatName val="0"/>
          <c:showSerName val="0"/>
          <c:showPercent val="0"/>
          <c:showBubbleSize val="0"/>
        </c:dLbls>
        <c:gapWidth val="267"/>
        <c:overlap val="-43"/>
        <c:axId val="2053524959"/>
        <c:axId val="2053510815"/>
      </c:barChart>
      <c:catAx>
        <c:axId val="205352495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53510815"/>
        <c:crosses val="autoZero"/>
        <c:auto val="1"/>
        <c:lblAlgn val="ctr"/>
        <c:lblOffset val="100"/>
        <c:noMultiLvlLbl val="0"/>
      </c:catAx>
      <c:valAx>
        <c:axId val="2053510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53524959"/>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8.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41275</xdr:colOff>
      <xdr:row>0</xdr:row>
      <xdr:rowOff>0</xdr:rowOff>
    </xdr:from>
    <xdr:to>
      <xdr:col>9</xdr:col>
      <xdr:colOff>346075</xdr:colOff>
      <xdr:row>14</xdr:row>
      <xdr:rowOff>165100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104775</xdr:colOff>
      <xdr:row>16</xdr:row>
      <xdr:rowOff>12700</xdr:rowOff>
    </xdr:from>
    <xdr:to>
      <xdr:col>9</xdr:col>
      <xdr:colOff>409575</xdr:colOff>
      <xdr:row>30</xdr:row>
      <xdr:rowOff>177800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123825</xdr:colOff>
      <xdr:row>31</xdr:row>
      <xdr:rowOff>133350</xdr:rowOff>
    </xdr:from>
    <xdr:to>
      <xdr:col>9</xdr:col>
      <xdr:colOff>428625</xdr:colOff>
      <xdr:row>46</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174625</xdr:colOff>
      <xdr:row>48</xdr:row>
      <xdr:rowOff>19050</xdr:rowOff>
    </xdr:from>
    <xdr:to>
      <xdr:col>9</xdr:col>
      <xdr:colOff>479425</xdr:colOff>
      <xdr:row>63</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159968</xdr:rowOff>
    </xdr:from>
    <xdr:to>
      <xdr:col>4</xdr:col>
      <xdr:colOff>223981</xdr:colOff>
      <xdr:row>21</xdr:row>
      <xdr:rowOff>102627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96212</xdr:rowOff>
    </xdr:from>
    <xdr:to>
      <xdr:col>4</xdr:col>
      <xdr:colOff>250150</xdr:colOff>
      <xdr:row>32</xdr:row>
      <xdr:rowOff>115453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590100</xdr:colOff>
      <xdr:row>9</xdr:row>
      <xdr:rowOff>153619</xdr:rowOff>
    </xdr:from>
    <xdr:to>
      <xdr:col>6</xdr:col>
      <xdr:colOff>4529666</xdr:colOff>
      <xdr:row>22</xdr:row>
      <xdr:rowOff>6415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583687</xdr:colOff>
      <xdr:row>21</xdr:row>
      <xdr:rowOff>89798</xdr:rowOff>
    </xdr:from>
    <xdr:to>
      <xdr:col>6</xdr:col>
      <xdr:colOff>4529667</xdr:colOff>
      <xdr:row>32</xdr:row>
      <xdr:rowOff>63500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247904</xdr:colOff>
      <xdr:row>9</xdr:row>
      <xdr:rowOff>161318</xdr:rowOff>
    </xdr:from>
    <xdr:to>
      <xdr:col>5</xdr:col>
      <xdr:colOff>596513</xdr:colOff>
      <xdr:row>21</xdr:row>
      <xdr:rowOff>134697</xdr:rowOff>
    </xdr:to>
    <mc:AlternateContent xmlns:mc="http://schemas.openxmlformats.org/markup-compatibility/2006">
      <mc:Choice xmlns:a14="http://schemas.microsoft.com/office/drawing/2010/main" Requires="a14">
        <xdr:graphicFrame macro="">
          <xdr:nvGraphicFramePr>
            <xdr:cNvPr id="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4859672" y="2893742"/>
              <a:ext cx="1676336" cy="220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353738</xdr:rowOff>
    </xdr:from>
    <xdr:to>
      <xdr:col>1</xdr:col>
      <xdr:colOff>836083</xdr:colOff>
      <xdr:row>10</xdr:row>
      <xdr:rowOff>10584</xdr:rowOff>
    </xdr:to>
    <mc:AlternateContent xmlns:mc="http://schemas.openxmlformats.org/markup-compatibility/2006">
      <mc:Choice xmlns:a14="http://schemas.microsoft.com/office/drawing/2010/main" Requires="a14">
        <xdr:graphicFrame macro="">
          <xdr:nvGraphicFramePr>
            <xdr:cNvPr id="7"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0" y="1655809"/>
              <a:ext cx="2099669" cy="12732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256565</xdr:colOff>
      <xdr:row>21</xdr:row>
      <xdr:rowOff>106794</xdr:rowOff>
    </xdr:from>
    <xdr:to>
      <xdr:col>5</xdr:col>
      <xdr:colOff>577272</xdr:colOff>
      <xdr:row>32</xdr:row>
      <xdr:rowOff>84666</xdr:rowOff>
    </xdr:to>
    <mc:AlternateContent xmlns:mc="http://schemas.openxmlformats.org/markup-compatibility/2006">
      <mc:Choice xmlns:a14="http://schemas.microsoft.com/office/drawing/2010/main" Requires="a14">
        <xdr:graphicFrame macro="">
          <xdr:nvGraphicFramePr>
            <xdr:cNvPr id="8"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868333" y="5071339"/>
              <a:ext cx="1648434" cy="20239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33.386552662036" createdVersion="6" refreshedVersion="6" minRefreshableVersion="3" recordCount="100">
  <cacheSource type="worksheet">
    <worksheetSource ref="A1:J101" sheet="orders"/>
  </cacheSource>
  <cacheFields count="10">
    <cacheField name="Order_ID" numFmtId="0">
      <sharedItems/>
    </cacheField>
    <cacheField name="Customer_ID" numFmtId="0">
      <sharedItems/>
    </cacheField>
    <cacheField name="Product_ID" numFmtId="0">
      <sharedItems count="27">
        <s v="PRD-024"/>
        <s v="PRD-021"/>
        <s v="PRD-003"/>
        <s v="PRD-006"/>
        <s v="PRD-012"/>
        <s v="PRD-026"/>
        <s v="PRD-027"/>
        <s v="PRD-018"/>
        <s v="PRD-002"/>
        <s v="PRD-004"/>
        <s v="PRD-020"/>
        <s v="PRD-013"/>
        <s v="PRD-005"/>
        <s v="PRD-030"/>
        <s v="PRD-010"/>
        <s v="PRD-014"/>
        <s v="PRD-028"/>
        <s v="PRD-029"/>
        <s v="PRD-011"/>
        <s v="PRD-007"/>
        <s v="PRD-017"/>
        <s v="PRD-008"/>
        <s v="PRD-009"/>
        <s v="PRD-023"/>
        <s v="PRD-025"/>
        <s v="PRD-001"/>
        <s v="PRD-015"/>
      </sharedItems>
    </cacheField>
    <cacheField name="Order_Date" numFmtId="165">
      <sharedItems/>
    </cacheField>
    <cacheField name="Months" numFmtId="165">
      <sharedItems count="12">
        <s v="Jun"/>
        <s v="Oct"/>
        <s v="Sept"/>
        <s v="Jan"/>
        <s v="Mar"/>
        <s v="Jul"/>
        <s v="Aug"/>
        <s v="Apr"/>
        <s v="Nov"/>
        <s v="May"/>
        <s v="Feb"/>
        <s v="Dec"/>
      </sharedItems>
    </cacheField>
    <cacheField name="Quantity" numFmtId="0">
      <sharedItems containsSemiMixedTypes="0" containsString="0" containsNumber="1" containsInteger="1" minValue="1" maxValue="5"/>
    </cacheField>
    <cacheField name="Payment_Method" numFmtId="0">
      <sharedItems count="4">
        <s v="Cash"/>
        <s v="Airtel Money"/>
        <s v="M-Pesa"/>
        <s v="Card"/>
      </sharedItems>
    </cacheField>
    <cacheField name="City" numFmtId="0">
      <sharedItems count="5">
        <s v="Kisumu"/>
        <s v="Nairobi"/>
        <s v="Eldoret"/>
        <s v="Mombasa"/>
        <s v="Nakuru"/>
      </sharedItems>
    </cacheField>
    <cacheField name="Price_KES" numFmtId="0">
      <sharedItems containsSemiMixedTypes="0" containsString="0" containsNumber="1" containsInteger="1" minValue="1780" maxValue="19968"/>
    </cacheField>
    <cacheField name="Revenue_KES" numFmtId="0">
      <sharedItems containsSemiMixedTypes="0" containsString="0" containsNumber="1" containsInteger="1" minValue="1780" maxValue="99840" count="71">
        <n v="46083"/>
        <n v="53252"/>
        <n v="26626"/>
        <n v="13896"/>
        <n v="40947"/>
        <n v="98775"/>
        <n v="35288"/>
        <n v="31888"/>
        <n v="15104"/>
        <n v="99415"/>
        <n v="52842"/>
        <n v="76805"/>
        <n v="14238"/>
        <n v="79872"/>
        <n v="44375"/>
        <n v="15361"/>
        <n v="43530"/>
        <n v="72048"/>
        <n v="40415"/>
        <n v="44110"/>
        <n v="13895"/>
        <n v="5558"/>
        <n v="8083"/>
        <n v="2779"/>
        <n v="32384"/>
        <n v="20416"/>
        <n v="39860"/>
        <n v="26625"/>
        <n v="58125"/>
        <n v="6610"/>
        <n v="30208"/>
        <n v="95440"/>
        <n v="18012"/>
        <n v="88070"/>
        <n v="46500"/>
        <n v="59904"/>
        <n v="32332"/>
        <n v="7963"/>
        <n v="17614"/>
        <n v="32694"/>
        <n v="6948"/>
        <n v="26118"/>
        <n v="17644"/>
        <n v="99840"/>
        <n v="35500"/>
        <n v="22656"/>
        <n v="16192"/>
        <n v="79020"/>
        <n v="17412"/>
        <n v="16347"/>
        <n v="36024"/>
        <n v="19968"/>
        <n v="36291"/>
        <n v="81735"/>
        <n v="1780"/>
        <n v="68468"/>
        <n v="61444"/>
        <n v="10208"/>
        <n v="19883"/>
        <n v="9492"/>
        <n v="15312"/>
        <n v="54036"/>
        <n v="17750"/>
        <n v="23730"/>
        <n v="17117"/>
        <n v="9915"/>
        <n v="54596"/>
        <n v="23250"/>
        <n v="23889"/>
        <n v="24194"/>
        <n v="5726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s v="ORD-001"/>
    <s v="CUST-041"/>
    <x v="0"/>
    <s v="29/06/2024"/>
    <x v="0"/>
    <n v="3"/>
    <x v="0"/>
    <x v="0"/>
    <n v="15361"/>
    <x v="0"/>
  </r>
  <r>
    <s v="ORD-002"/>
    <s v="CUST-006"/>
    <x v="1"/>
    <s v="29/10/2024"/>
    <x v="1"/>
    <n v="4"/>
    <x v="1"/>
    <x v="1"/>
    <n v="13313"/>
    <x v="1"/>
  </r>
  <r>
    <s v="ORD-003"/>
    <s v="CUST-041"/>
    <x v="1"/>
    <s v="26/06/2024"/>
    <x v="0"/>
    <n v="2"/>
    <x v="2"/>
    <x v="0"/>
    <n v="13313"/>
    <x v="2"/>
  </r>
  <r>
    <s v="ORD-004"/>
    <s v="CUST-032"/>
    <x v="2"/>
    <s v="20/06/2024"/>
    <x v="0"/>
    <n v="2"/>
    <x v="1"/>
    <x v="0"/>
    <n v="6948"/>
    <x v="3"/>
  </r>
  <r>
    <s v="ORD-005"/>
    <s v="CUST-034"/>
    <x v="3"/>
    <s v="04/09/2024"/>
    <x v="2"/>
    <n v="3"/>
    <x v="2"/>
    <x v="2"/>
    <n v="13649"/>
    <x v="4"/>
  </r>
  <r>
    <s v="ORD-006"/>
    <s v="CUST-004"/>
    <x v="4"/>
    <s v="13/01/2024"/>
    <x v="3"/>
    <n v="5"/>
    <x v="2"/>
    <x v="2"/>
    <n v="19755"/>
    <x v="5"/>
  </r>
  <r>
    <s v="ORD-007"/>
    <s v="CUST-046"/>
    <x v="5"/>
    <s v="24/03/2024"/>
    <x v="4"/>
    <n v="4"/>
    <x v="0"/>
    <x v="1"/>
    <n v="8822"/>
    <x v="6"/>
  </r>
  <r>
    <s v="ORD-008"/>
    <s v="CUST-042"/>
    <x v="6"/>
    <s v="08/03/2024"/>
    <x v="4"/>
    <n v="4"/>
    <x v="2"/>
    <x v="3"/>
    <n v="7972"/>
    <x v="7"/>
  </r>
  <r>
    <s v="ORD-009"/>
    <s v="CUST-049"/>
    <x v="7"/>
    <s v="26/07/2024"/>
    <x v="5"/>
    <n v="2"/>
    <x v="3"/>
    <x v="4"/>
    <n v="7552"/>
    <x v="8"/>
  </r>
  <r>
    <s v="ORD-010"/>
    <s v="CUST-048"/>
    <x v="8"/>
    <s v="02/01/2024"/>
    <x v="3"/>
    <n v="5"/>
    <x v="2"/>
    <x v="0"/>
    <n v="19883"/>
    <x v="9"/>
  </r>
  <r>
    <s v="ORD-011"/>
    <s v="CUST-042"/>
    <x v="9"/>
    <s v="19/03/2024"/>
    <x v="4"/>
    <n v="3"/>
    <x v="3"/>
    <x v="3"/>
    <n v="17614"/>
    <x v="10"/>
  </r>
  <r>
    <s v="ORD-012"/>
    <s v="CUST-039"/>
    <x v="0"/>
    <s v="26/08/2024"/>
    <x v="6"/>
    <n v="5"/>
    <x v="2"/>
    <x v="0"/>
    <n v="15361"/>
    <x v="11"/>
  </r>
  <r>
    <s v="ORD-013"/>
    <s v="CUST-035"/>
    <x v="10"/>
    <s v="18/04/2024"/>
    <x v="7"/>
    <n v="3"/>
    <x v="1"/>
    <x v="3"/>
    <n v="4746"/>
    <x v="12"/>
  </r>
  <r>
    <s v="ORD-014"/>
    <s v="CUST-033"/>
    <x v="11"/>
    <s v="10/08/2024"/>
    <x v="6"/>
    <n v="4"/>
    <x v="1"/>
    <x v="1"/>
    <n v="19968"/>
    <x v="13"/>
  </r>
  <r>
    <s v="ORD-015"/>
    <s v="CUST-023"/>
    <x v="12"/>
    <s v="23/11/2024"/>
    <x v="8"/>
    <n v="5"/>
    <x v="2"/>
    <x v="3"/>
    <n v="8875"/>
    <x v="14"/>
  </r>
  <r>
    <s v="ORD-016"/>
    <s v="CUST-020"/>
    <x v="0"/>
    <s v="24/10/2024"/>
    <x v="1"/>
    <n v="1"/>
    <x v="1"/>
    <x v="3"/>
    <n v="15361"/>
    <x v="15"/>
  </r>
  <r>
    <s v="ORD-017"/>
    <s v="CUST-021"/>
    <x v="13"/>
    <s v="17/05/2024"/>
    <x v="9"/>
    <n v="5"/>
    <x v="0"/>
    <x v="0"/>
    <n v="8706"/>
    <x v="16"/>
  </r>
  <r>
    <s v="ORD-018"/>
    <s v="CUST-002"/>
    <x v="14"/>
    <s v="23/04/2024"/>
    <x v="7"/>
    <n v="4"/>
    <x v="1"/>
    <x v="4"/>
    <n v="18012"/>
    <x v="17"/>
  </r>
  <r>
    <s v="ORD-019"/>
    <s v="CUST-035"/>
    <x v="15"/>
    <s v="06/03/2024"/>
    <x v="4"/>
    <n v="5"/>
    <x v="3"/>
    <x v="3"/>
    <n v="8083"/>
    <x v="18"/>
  </r>
  <r>
    <s v="ORD-020"/>
    <s v="CUST-001"/>
    <x v="5"/>
    <s v="15/04/2024"/>
    <x v="7"/>
    <n v="5"/>
    <x v="0"/>
    <x v="2"/>
    <n v="8822"/>
    <x v="19"/>
  </r>
  <r>
    <s v="ORD-021"/>
    <s v="CUST-037"/>
    <x v="13"/>
    <s v="15/05/2024"/>
    <x v="9"/>
    <n v="5"/>
    <x v="3"/>
    <x v="0"/>
    <n v="8706"/>
    <x v="16"/>
  </r>
  <r>
    <s v="ORD-022"/>
    <s v="CUST-017"/>
    <x v="16"/>
    <s v="18/05/2024"/>
    <x v="9"/>
    <n v="5"/>
    <x v="0"/>
    <x v="2"/>
    <n v="2779"/>
    <x v="20"/>
  </r>
  <r>
    <s v="ORD-023"/>
    <s v="CUST-003"/>
    <x v="16"/>
    <s v="03/04/2024"/>
    <x v="7"/>
    <n v="2"/>
    <x v="3"/>
    <x v="1"/>
    <n v="2779"/>
    <x v="21"/>
  </r>
  <r>
    <s v="ORD-024"/>
    <s v="CUST-017"/>
    <x v="15"/>
    <s v="02/06/2024"/>
    <x v="0"/>
    <n v="1"/>
    <x v="1"/>
    <x v="2"/>
    <n v="8083"/>
    <x v="22"/>
  </r>
  <r>
    <s v="ORD-025"/>
    <s v="CUST-015"/>
    <x v="16"/>
    <s v="22/01/2024"/>
    <x v="3"/>
    <n v="1"/>
    <x v="2"/>
    <x v="3"/>
    <n v="2779"/>
    <x v="23"/>
  </r>
  <r>
    <s v="ORD-026"/>
    <s v="CUST-009"/>
    <x v="17"/>
    <s v="27/01/2024"/>
    <x v="3"/>
    <n v="4"/>
    <x v="3"/>
    <x v="1"/>
    <n v="8096"/>
    <x v="24"/>
  </r>
  <r>
    <s v="ORD-027"/>
    <s v="CUST-027"/>
    <x v="18"/>
    <s v="16/08/2024"/>
    <x v="6"/>
    <n v="4"/>
    <x v="1"/>
    <x v="3"/>
    <n v="5104"/>
    <x v="25"/>
  </r>
  <r>
    <s v="ORD-028"/>
    <s v="CUST-017"/>
    <x v="15"/>
    <s v="09/07/2024"/>
    <x v="5"/>
    <n v="1"/>
    <x v="1"/>
    <x v="2"/>
    <n v="8083"/>
    <x v="22"/>
  </r>
  <r>
    <s v="ORD-029"/>
    <s v="CUST-049"/>
    <x v="6"/>
    <s v="12/05/2024"/>
    <x v="9"/>
    <n v="5"/>
    <x v="3"/>
    <x v="4"/>
    <n v="7972"/>
    <x v="26"/>
  </r>
  <r>
    <s v="ORD-030"/>
    <s v="CUST-024"/>
    <x v="12"/>
    <s v="17/03/2024"/>
    <x v="4"/>
    <n v="3"/>
    <x v="1"/>
    <x v="0"/>
    <n v="8875"/>
    <x v="27"/>
  </r>
  <r>
    <s v="ORD-031"/>
    <s v="CUST-031"/>
    <x v="19"/>
    <s v="31/05/2024"/>
    <x v="9"/>
    <n v="5"/>
    <x v="2"/>
    <x v="3"/>
    <n v="11625"/>
    <x v="28"/>
  </r>
  <r>
    <s v="ORD-032"/>
    <s v="CUST-002"/>
    <x v="20"/>
    <s v="31/01/2024"/>
    <x v="3"/>
    <n v="2"/>
    <x v="2"/>
    <x v="4"/>
    <n v="3305"/>
    <x v="29"/>
  </r>
  <r>
    <s v="ORD-033"/>
    <s v="CUST-035"/>
    <x v="5"/>
    <s v="29/08/2024"/>
    <x v="6"/>
    <n v="4"/>
    <x v="2"/>
    <x v="3"/>
    <n v="8822"/>
    <x v="6"/>
  </r>
  <r>
    <s v="ORD-034"/>
    <s v="CUST-048"/>
    <x v="7"/>
    <s v="18/07/2024"/>
    <x v="5"/>
    <n v="4"/>
    <x v="2"/>
    <x v="0"/>
    <n v="7552"/>
    <x v="30"/>
  </r>
  <r>
    <s v="ORD-035"/>
    <s v="CUST-002"/>
    <x v="21"/>
    <s v="03/08/2024"/>
    <x v="6"/>
    <n v="5"/>
    <x v="3"/>
    <x v="4"/>
    <n v="19088"/>
    <x v="31"/>
  </r>
  <r>
    <s v="ORD-036"/>
    <s v="CUST-043"/>
    <x v="14"/>
    <s v="15/11/2024"/>
    <x v="8"/>
    <n v="1"/>
    <x v="3"/>
    <x v="1"/>
    <n v="18012"/>
    <x v="32"/>
  </r>
  <r>
    <s v="ORD-037"/>
    <s v="CUST-002"/>
    <x v="9"/>
    <s v="09/10/2024"/>
    <x v="1"/>
    <n v="5"/>
    <x v="3"/>
    <x v="4"/>
    <n v="17614"/>
    <x v="33"/>
  </r>
  <r>
    <s v="ORD-038"/>
    <s v="CUST-014"/>
    <x v="19"/>
    <s v="26/07/2024"/>
    <x v="5"/>
    <n v="4"/>
    <x v="3"/>
    <x v="0"/>
    <n v="11625"/>
    <x v="34"/>
  </r>
  <r>
    <s v="ORD-039"/>
    <s v="CUST-040"/>
    <x v="11"/>
    <s v="10/02/2024"/>
    <x v="10"/>
    <n v="3"/>
    <x v="0"/>
    <x v="1"/>
    <n v="19968"/>
    <x v="35"/>
  </r>
  <r>
    <s v="ORD-040"/>
    <s v="CUST-035"/>
    <x v="15"/>
    <s v="04/06/2024"/>
    <x v="0"/>
    <n v="4"/>
    <x v="0"/>
    <x v="3"/>
    <n v="8083"/>
    <x v="36"/>
  </r>
  <r>
    <s v="ORD-041"/>
    <s v="CUST-019"/>
    <x v="22"/>
    <s v="17/02/2024"/>
    <x v="10"/>
    <n v="1"/>
    <x v="2"/>
    <x v="1"/>
    <n v="7963"/>
    <x v="37"/>
  </r>
  <r>
    <s v="ORD-042"/>
    <s v="CUST-033"/>
    <x v="9"/>
    <s v="06/11/2024"/>
    <x v="8"/>
    <n v="1"/>
    <x v="0"/>
    <x v="1"/>
    <n v="17614"/>
    <x v="38"/>
  </r>
  <r>
    <s v="ORD-043"/>
    <s v="CUST-023"/>
    <x v="23"/>
    <s v="18/12/2024"/>
    <x v="11"/>
    <n v="2"/>
    <x v="3"/>
    <x v="3"/>
    <n v="16347"/>
    <x v="39"/>
  </r>
  <r>
    <s v="ORD-044"/>
    <s v="CUST-036"/>
    <x v="2"/>
    <s v="05/04/2024"/>
    <x v="7"/>
    <n v="1"/>
    <x v="1"/>
    <x v="2"/>
    <n v="6948"/>
    <x v="40"/>
  </r>
  <r>
    <s v="ORD-045"/>
    <s v="CUST-043"/>
    <x v="13"/>
    <s v="08/06/2024"/>
    <x v="0"/>
    <n v="3"/>
    <x v="2"/>
    <x v="1"/>
    <n v="8706"/>
    <x v="41"/>
  </r>
  <r>
    <s v="ORD-046"/>
    <s v="CUST-029"/>
    <x v="5"/>
    <s v="10/09/2024"/>
    <x v="2"/>
    <n v="2"/>
    <x v="3"/>
    <x v="3"/>
    <n v="8822"/>
    <x v="42"/>
  </r>
  <r>
    <s v="ORD-047"/>
    <s v="CUST-022"/>
    <x v="11"/>
    <s v="09/06/2024"/>
    <x v="0"/>
    <n v="5"/>
    <x v="2"/>
    <x v="4"/>
    <n v="19968"/>
    <x v="43"/>
  </r>
  <r>
    <s v="ORD-048"/>
    <s v="CUST-046"/>
    <x v="16"/>
    <s v="22/01/2024"/>
    <x v="3"/>
    <n v="5"/>
    <x v="1"/>
    <x v="1"/>
    <n v="2779"/>
    <x v="20"/>
  </r>
  <r>
    <s v="ORD-049"/>
    <s v="CUST-017"/>
    <x v="21"/>
    <s v="08/06/2024"/>
    <x v="0"/>
    <n v="5"/>
    <x v="1"/>
    <x v="2"/>
    <n v="19088"/>
    <x v="31"/>
  </r>
  <r>
    <s v="ORD-050"/>
    <s v="CUST-019"/>
    <x v="13"/>
    <s v="23/08/2024"/>
    <x v="6"/>
    <n v="3"/>
    <x v="3"/>
    <x v="1"/>
    <n v="8706"/>
    <x v="41"/>
  </r>
  <r>
    <s v="ORD-051"/>
    <s v="CUST-043"/>
    <x v="5"/>
    <s v="10/04/2024"/>
    <x v="7"/>
    <n v="2"/>
    <x v="2"/>
    <x v="1"/>
    <n v="8822"/>
    <x v="42"/>
  </r>
  <r>
    <s v="ORD-052"/>
    <s v="CUST-049"/>
    <x v="12"/>
    <s v="02/02/2024"/>
    <x v="10"/>
    <n v="4"/>
    <x v="0"/>
    <x v="4"/>
    <n v="8875"/>
    <x v="44"/>
  </r>
  <r>
    <s v="ORD-053"/>
    <s v="CUST-049"/>
    <x v="7"/>
    <s v="07/01/2024"/>
    <x v="3"/>
    <n v="3"/>
    <x v="1"/>
    <x v="4"/>
    <n v="7552"/>
    <x v="45"/>
  </r>
  <r>
    <s v="ORD-054"/>
    <s v="CUST-030"/>
    <x v="17"/>
    <s v="08/09/2024"/>
    <x v="2"/>
    <n v="2"/>
    <x v="2"/>
    <x v="1"/>
    <n v="8096"/>
    <x v="46"/>
  </r>
  <r>
    <s v="ORD-055"/>
    <s v="CUST-044"/>
    <x v="2"/>
    <s v="24/02/2024"/>
    <x v="10"/>
    <n v="1"/>
    <x v="3"/>
    <x v="4"/>
    <n v="6948"/>
    <x v="40"/>
  </r>
  <r>
    <s v="ORD-056"/>
    <s v="CUST-041"/>
    <x v="0"/>
    <s v="16/05/2024"/>
    <x v="9"/>
    <n v="3"/>
    <x v="3"/>
    <x v="0"/>
    <n v="15361"/>
    <x v="0"/>
  </r>
  <r>
    <s v="ORD-057"/>
    <s v="CUST-015"/>
    <x v="10"/>
    <s v="20/05/2024"/>
    <x v="9"/>
    <n v="3"/>
    <x v="3"/>
    <x v="3"/>
    <n v="4746"/>
    <x v="12"/>
  </r>
  <r>
    <s v="ORD-058"/>
    <s v="CUST-022"/>
    <x v="4"/>
    <s v="30/04/2024"/>
    <x v="7"/>
    <n v="4"/>
    <x v="3"/>
    <x v="4"/>
    <n v="19755"/>
    <x v="47"/>
  </r>
  <r>
    <s v="ORD-059"/>
    <s v="CUST-044"/>
    <x v="13"/>
    <s v="06/06/2024"/>
    <x v="0"/>
    <n v="2"/>
    <x v="0"/>
    <x v="4"/>
    <n v="8706"/>
    <x v="48"/>
  </r>
  <r>
    <s v="ORD-060"/>
    <s v="CUST-014"/>
    <x v="23"/>
    <s v="18/05/2024"/>
    <x v="9"/>
    <n v="1"/>
    <x v="1"/>
    <x v="0"/>
    <n v="16347"/>
    <x v="49"/>
  </r>
  <r>
    <s v="ORD-061"/>
    <s v="CUST-016"/>
    <x v="21"/>
    <s v="29/06/2024"/>
    <x v="0"/>
    <n v="5"/>
    <x v="0"/>
    <x v="1"/>
    <n v="19088"/>
    <x v="31"/>
  </r>
  <r>
    <s v="ORD-062"/>
    <s v="CUST-029"/>
    <x v="14"/>
    <s v="19/02/2024"/>
    <x v="10"/>
    <n v="2"/>
    <x v="0"/>
    <x v="3"/>
    <n v="18012"/>
    <x v="50"/>
  </r>
  <r>
    <s v="ORD-063"/>
    <s v="CUST-035"/>
    <x v="11"/>
    <s v="16/06/2024"/>
    <x v="0"/>
    <n v="1"/>
    <x v="0"/>
    <x v="3"/>
    <n v="19968"/>
    <x v="51"/>
  </r>
  <r>
    <s v="ORD-064"/>
    <s v="CUST-035"/>
    <x v="24"/>
    <s v="09/04/2024"/>
    <x v="7"/>
    <n v="3"/>
    <x v="2"/>
    <x v="3"/>
    <n v="12097"/>
    <x v="52"/>
  </r>
  <r>
    <s v="ORD-065"/>
    <s v="CUST-011"/>
    <x v="23"/>
    <s v="23/08/2024"/>
    <x v="6"/>
    <n v="2"/>
    <x v="3"/>
    <x v="1"/>
    <n v="16347"/>
    <x v="39"/>
  </r>
  <r>
    <s v="ORD-066"/>
    <s v="CUST-028"/>
    <x v="23"/>
    <s v="05/06/2024"/>
    <x v="0"/>
    <n v="5"/>
    <x v="2"/>
    <x v="3"/>
    <n v="16347"/>
    <x v="53"/>
  </r>
  <r>
    <s v="ORD-067"/>
    <s v="CUST-047"/>
    <x v="25"/>
    <s v="03/11/2024"/>
    <x v="8"/>
    <n v="1"/>
    <x v="2"/>
    <x v="1"/>
    <n v="1780"/>
    <x v="54"/>
  </r>
  <r>
    <s v="ORD-068"/>
    <s v="CUST-008"/>
    <x v="26"/>
    <s v="01/03/2024"/>
    <x v="4"/>
    <n v="4"/>
    <x v="0"/>
    <x v="1"/>
    <n v="17117"/>
    <x v="55"/>
  </r>
  <r>
    <s v="ORD-069"/>
    <s v="CUST-006"/>
    <x v="0"/>
    <s v="18/04/2024"/>
    <x v="7"/>
    <n v="4"/>
    <x v="2"/>
    <x v="1"/>
    <n v="15361"/>
    <x v="56"/>
  </r>
  <r>
    <s v="ORD-070"/>
    <s v="CUST-027"/>
    <x v="18"/>
    <s v="26/03/2024"/>
    <x v="4"/>
    <n v="2"/>
    <x v="1"/>
    <x v="3"/>
    <n v="5104"/>
    <x v="57"/>
  </r>
  <r>
    <s v="ORD-071"/>
    <s v="CUST-004"/>
    <x v="7"/>
    <s v="31/10/2024"/>
    <x v="1"/>
    <n v="3"/>
    <x v="0"/>
    <x v="2"/>
    <n v="7552"/>
    <x v="45"/>
  </r>
  <r>
    <s v="ORD-072"/>
    <s v="CUST-024"/>
    <x v="8"/>
    <s v="03/08/2024"/>
    <x v="6"/>
    <n v="1"/>
    <x v="2"/>
    <x v="0"/>
    <n v="19883"/>
    <x v="58"/>
  </r>
  <r>
    <s v="ORD-073"/>
    <s v="CUST-026"/>
    <x v="9"/>
    <s v="08/05/2024"/>
    <x v="9"/>
    <n v="5"/>
    <x v="3"/>
    <x v="1"/>
    <n v="17614"/>
    <x v="33"/>
  </r>
  <r>
    <s v="ORD-074"/>
    <s v="CUST-041"/>
    <x v="17"/>
    <s v="27/07/2024"/>
    <x v="5"/>
    <n v="4"/>
    <x v="2"/>
    <x v="0"/>
    <n v="8096"/>
    <x v="24"/>
  </r>
  <r>
    <s v="ORD-075"/>
    <s v="CUST-033"/>
    <x v="9"/>
    <s v="12/01/2024"/>
    <x v="3"/>
    <n v="3"/>
    <x v="3"/>
    <x v="1"/>
    <n v="17614"/>
    <x v="10"/>
  </r>
  <r>
    <s v="ORD-076"/>
    <s v="CUST-040"/>
    <x v="11"/>
    <s v="28/02/2024"/>
    <x v="10"/>
    <n v="1"/>
    <x v="2"/>
    <x v="1"/>
    <n v="19968"/>
    <x v="51"/>
  </r>
  <r>
    <s v="ORD-077"/>
    <s v="CUST-020"/>
    <x v="9"/>
    <s v="08/04/2024"/>
    <x v="7"/>
    <n v="3"/>
    <x v="2"/>
    <x v="3"/>
    <n v="17614"/>
    <x v="10"/>
  </r>
  <r>
    <s v="ORD-078"/>
    <s v="CUST-044"/>
    <x v="10"/>
    <s v="04/01/2024"/>
    <x v="3"/>
    <n v="2"/>
    <x v="3"/>
    <x v="4"/>
    <n v="4746"/>
    <x v="59"/>
  </r>
  <r>
    <s v="ORD-079"/>
    <s v="CUST-007"/>
    <x v="9"/>
    <s v="03/10/2024"/>
    <x v="1"/>
    <n v="3"/>
    <x v="3"/>
    <x v="0"/>
    <n v="17614"/>
    <x v="10"/>
  </r>
  <r>
    <s v="ORD-080"/>
    <s v="CUST-050"/>
    <x v="18"/>
    <s v="31/08/2024"/>
    <x v="6"/>
    <n v="3"/>
    <x v="3"/>
    <x v="1"/>
    <n v="5104"/>
    <x v="60"/>
  </r>
  <r>
    <s v="ORD-081"/>
    <s v="CUST-004"/>
    <x v="14"/>
    <s v="04/03/2024"/>
    <x v="4"/>
    <n v="3"/>
    <x v="1"/>
    <x v="2"/>
    <n v="18012"/>
    <x v="61"/>
  </r>
  <r>
    <s v="ORD-082"/>
    <s v="CUST-030"/>
    <x v="9"/>
    <s v="15/01/2024"/>
    <x v="3"/>
    <n v="3"/>
    <x v="0"/>
    <x v="1"/>
    <n v="17614"/>
    <x v="10"/>
  </r>
  <r>
    <s v="ORD-083"/>
    <s v="CUST-040"/>
    <x v="11"/>
    <s v="18/04/2024"/>
    <x v="7"/>
    <n v="4"/>
    <x v="0"/>
    <x v="1"/>
    <n v="19968"/>
    <x v="13"/>
  </r>
  <r>
    <s v="ORD-084"/>
    <s v="CUST-027"/>
    <x v="11"/>
    <s v="31/01/2024"/>
    <x v="3"/>
    <n v="1"/>
    <x v="3"/>
    <x v="3"/>
    <n v="19968"/>
    <x v="51"/>
  </r>
  <r>
    <s v="ORD-085"/>
    <s v="CUST-006"/>
    <x v="11"/>
    <s v="27/11/2024"/>
    <x v="8"/>
    <n v="4"/>
    <x v="1"/>
    <x v="1"/>
    <n v="19968"/>
    <x v="13"/>
  </r>
  <r>
    <s v="ORD-086"/>
    <s v="CUST-005"/>
    <x v="12"/>
    <s v="16/11/2024"/>
    <x v="8"/>
    <n v="2"/>
    <x v="1"/>
    <x v="0"/>
    <n v="8875"/>
    <x v="62"/>
  </r>
  <r>
    <s v="ORD-087"/>
    <s v="CUST-024"/>
    <x v="2"/>
    <s v="02/01/2024"/>
    <x v="3"/>
    <n v="1"/>
    <x v="0"/>
    <x v="0"/>
    <n v="6948"/>
    <x v="40"/>
  </r>
  <r>
    <s v="ORD-088"/>
    <s v="CUST-042"/>
    <x v="13"/>
    <s v="15/01/2024"/>
    <x v="3"/>
    <n v="5"/>
    <x v="0"/>
    <x v="3"/>
    <n v="8706"/>
    <x v="16"/>
  </r>
  <r>
    <s v="ORD-089"/>
    <s v="CUST-043"/>
    <x v="10"/>
    <s v="15/12/2024"/>
    <x v="11"/>
    <n v="5"/>
    <x v="0"/>
    <x v="1"/>
    <n v="4746"/>
    <x v="63"/>
  </r>
  <r>
    <s v="ORD-090"/>
    <s v="CUST-050"/>
    <x v="26"/>
    <s v="28/05/2024"/>
    <x v="9"/>
    <n v="1"/>
    <x v="2"/>
    <x v="1"/>
    <n v="17117"/>
    <x v="64"/>
  </r>
  <r>
    <s v="ORD-091"/>
    <s v="CUST-043"/>
    <x v="20"/>
    <s v="24/09/2024"/>
    <x v="2"/>
    <n v="3"/>
    <x v="0"/>
    <x v="1"/>
    <n v="3305"/>
    <x v="65"/>
  </r>
  <r>
    <s v="ORD-092"/>
    <s v="CUST-003"/>
    <x v="3"/>
    <s v="18/11/2024"/>
    <x v="8"/>
    <n v="4"/>
    <x v="3"/>
    <x v="1"/>
    <n v="13649"/>
    <x v="66"/>
  </r>
  <r>
    <s v="ORD-093"/>
    <s v="CUST-034"/>
    <x v="19"/>
    <s v="16/01/2024"/>
    <x v="3"/>
    <n v="2"/>
    <x v="1"/>
    <x v="2"/>
    <n v="11625"/>
    <x v="67"/>
  </r>
  <r>
    <s v="ORD-094"/>
    <s v="CUST-001"/>
    <x v="20"/>
    <s v="23/08/2024"/>
    <x v="6"/>
    <n v="3"/>
    <x v="2"/>
    <x v="2"/>
    <n v="3305"/>
    <x v="65"/>
  </r>
  <r>
    <s v="ORD-095"/>
    <s v="CUST-033"/>
    <x v="15"/>
    <s v="15/11/2024"/>
    <x v="8"/>
    <n v="5"/>
    <x v="0"/>
    <x v="1"/>
    <n v="8083"/>
    <x v="18"/>
  </r>
  <r>
    <s v="ORD-096"/>
    <s v="CUST-029"/>
    <x v="22"/>
    <s v="23/12/2024"/>
    <x v="11"/>
    <n v="3"/>
    <x v="0"/>
    <x v="3"/>
    <n v="7963"/>
    <x v="68"/>
  </r>
  <r>
    <s v="ORD-097"/>
    <s v="CUST-040"/>
    <x v="20"/>
    <s v="01/05/2024"/>
    <x v="9"/>
    <n v="2"/>
    <x v="3"/>
    <x v="1"/>
    <n v="3305"/>
    <x v="29"/>
  </r>
  <r>
    <s v="ORD-098"/>
    <s v="CUST-037"/>
    <x v="23"/>
    <s v="23/07/2024"/>
    <x v="5"/>
    <n v="5"/>
    <x v="3"/>
    <x v="0"/>
    <n v="16347"/>
    <x v="53"/>
  </r>
  <r>
    <s v="ORD-099"/>
    <s v="CUST-030"/>
    <x v="24"/>
    <s v="13/01/2024"/>
    <x v="3"/>
    <n v="2"/>
    <x v="0"/>
    <x v="1"/>
    <n v="12097"/>
    <x v="69"/>
  </r>
  <r>
    <s v="ORD-100"/>
    <s v="CUST-032"/>
    <x v="21"/>
    <s v="26/06/2024"/>
    <x v="0"/>
    <n v="3"/>
    <x v="2"/>
    <x v="0"/>
    <n v="19088"/>
    <x v="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0:B78" firstHeaderRow="1" firstDataRow="1" firstDataCol="1"/>
  <pivotFields count="10">
    <pivotField showAll="0"/>
    <pivotField showAll="0"/>
    <pivotField axis="axisRow" showAll="0">
      <items count="28">
        <item x="25"/>
        <item x="8"/>
        <item x="2"/>
        <item x="9"/>
        <item x="12"/>
        <item x="3"/>
        <item x="19"/>
        <item x="21"/>
        <item x="22"/>
        <item x="14"/>
        <item x="18"/>
        <item x="4"/>
        <item x="11"/>
        <item x="15"/>
        <item x="26"/>
        <item x="20"/>
        <item x="7"/>
        <item x="10"/>
        <item x="1"/>
        <item x="23"/>
        <item x="0"/>
        <item x="24"/>
        <item x="5"/>
        <item x="6"/>
        <item x="16"/>
        <item x="17"/>
        <item x="13"/>
        <item t="default"/>
      </items>
    </pivotField>
    <pivotField showAll="0"/>
    <pivotField showAll="0">
      <items count="13">
        <item x="3"/>
        <item x="10"/>
        <item x="4"/>
        <item x="7"/>
        <item x="9"/>
        <item x="0"/>
        <item x="5"/>
        <item x="6"/>
        <item x="2"/>
        <item x="1"/>
        <item x="8"/>
        <item x="11"/>
        <item t="default"/>
      </items>
    </pivotField>
    <pivotField showAll="0"/>
    <pivotField showAll="0">
      <items count="5">
        <item x="1"/>
        <item x="3"/>
        <item x="0"/>
        <item x="2"/>
        <item t="default"/>
      </items>
    </pivotField>
    <pivotField showAll="0">
      <items count="6">
        <item x="2"/>
        <item x="0"/>
        <item x="3"/>
        <item x="1"/>
        <item x="4"/>
        <item t="default"/>
      </items>
    </pivotField>
    <pivotField showAll="0"/>
    <pivotField dataField="1" showAll="0"/>
  </pivotFields>
  <rowFields count="1">
    <field x="2"/>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Sum of Revenue_KES" fld="9" baseField="0" baseItem="0"/>
  </dataFields>
  <chartFormats count="2">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5:B41" firstHeaderRow="1" firstDataRow="1" firstDataCol="1"/>
  <pivotFields count="10">
    <pivotField showAll="0"/>
    <pivotField showAll="0"/>
    <pivotField showAll="0"/>
    <pivotField showAll="0"/>
    <pivotField showAll="0">
      <items count="13">
        <item x="3"/>
        <item x="10"/>
        <item x="4"/>
        <item x="7"/>
        <item x="9"/>
        <item x="0"/>
        <item x="5"/>
        <item x="6"/>
        <item x="2"/>
        <item x="1"/>
        <item x="8"/>
        <item x="11"/>
        <item t="default"/>
      </items>
    </pivotField>
    <pivotField showAll="0"/>
    <pivotField showAll="0">
      <items count="5">
        <item x="1"/>
        <item x="3"/>
        <item x="0"/>
        <item x="2"/>
        <item t="default"/>
      </items>
    </pivotField>
    <pivotField axis="axisRow" showAll="0">
      <items count="6">
        <item x="2"/>
        <item x="0"/>
        <item x="3"/>
        <item x="1"/>
        <item x="4"/>
        <item t="default"/>
      </items>
    </pivotField>
    <pivotField showAll="0"/>
    <pivotField dataField="1" showAll="0"/>
  </pivotFields>
  <rowFields count="1">
    <field x="7"/>
  </rowFields>
  <rowItems count="6">
    <i>
      <x/>
    </i>
    <i>
      <x v="1"/>
    </i>
    <i>
      <x v="2"/>
    </i>
    <i>
      <x v="3"/>
    </i>
    <i>
      <x v="4"/>
    </i>
    <i t="grand">
      <x/>
    </i>
  </rowItems>
  <colItems count="1">
    <i/>
  </colItems>
  <dataFields count="1">
    <dataField name="Sum of Revenue_KES" fld="9"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0:B25" firstHeaderRow="1" firstDataRow="1" firstDataCol="1"/>
  <pivotFields count="10">
    <pivotField showAll="0"/>
    <pivotField showAll="0"/>
    <pivotField showAll="0"/>
    <pivotField showAll="0"/>
    <pivotField showAll="0">
      <items count="13">
        <item x="3"/>
        <item x="10"/>
        <item x="4"/>
        <item x="7"/>
        <item x="9"/>
        <item x="0"/>
        <item x="5"/>
        <item x="6"/>
        <item x="2"/>
        <item x="1"/>
        <item x="8"/>
        <item x="11"/>
        <item t="default"/>
      </items>
    </pivotField>
    <pivotField showAll="0"/>
    <pivotField axis="axisRow" showAll="0">
      <items count="5">
        <item x="1"/>
        <item x="3"/>
        <item x="0"/>
        <item x="2"/>
        <item t="default"/>
      </items>
    </pivotField>
    <pivotField showAll="0">
      <items count="6">
        <item x="2"/>
        <item x="0"/>
        <item x="3"/>
        <item x="1"/>
        <item x="4"/>
        <item t="default"/>
      </items>
    </pivotField>
    <pivotField showAll="0"/>
    <pivotField dataField="1" showAll="0"/>
  </pivotFields>
  <rowFields count="1">
    <field x="6"/>
  </rowFields>
  <rowItems count="5">
    <i>
      <x/>
    </i>
    <i>
      <x v="1"/>
    </i>
    <i>
      <x v="2"/>
    </i>
    <i>
      <x v="3"/>
    </i>
    <i t="grand">
      <x/>
    </i>
  </rowItems>
  <colItems count="1">
    <i/>
  </colItems>
  <dataFields count="1">
    <dataField name="Sum of Revenue_KES" fld="9" baseField="0" baseItem="0"/>
  </dataFields>
  <chartFormats count="5">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3"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B14" firstHeaderRow="1" firstDataRow="1" firstDataCol="1"/>
  <pivotFields count="10">
    <pivotField showAll="0"/>
    <pivotField showAll="0"/>
    <pivotField showAll="0"/>
    <pivotField showAll="0"/>
    <pivotField axis="axisRow" showAll="0">
      <items count="13">
        <item x="3"/>
        <item x="10"/>
        <item x="4"/>
        <item x="7"/>
        <item x="9"/>
        <item x="0"/>
        <item x="5"/>
        <item x="6"/>
        <item x="2"/>
        <item x="1"/>
        <item x="8"/>
        <item x="11"/>
        <item t="default"/>
      </items>
    </pivotField>
    <pivotField showAll="0"/>
    <pivotField showAll="0">
      <items count="5">
        <item x="1"/>
        <item x="3"/>
        <item x="0"/>
        <item x="2"/>
        <item t="default"/>
      </items>
    </pivotField>
    <pivotField showAll="0">
      <items count="6">
        <item x="2"/>
        <item x="0"/>
        <item x="3"/>
        <item x="1"/>
        <item x="4"/>
        <item t="default"/>
      </items>
    </pivotField>
    <pivotField showAll="0"/>
    <pivotField dataField="1" showAll="0">
      <items count="72">
        <item x="54"/>
        <item x="23"/>
        <item x="21"/>
        <item x="29"/>
        <item x="40"/>
        <item x="37"/>
        <item x="22"/>
        <item x="59"/>
        <item x="65"/>
        <item x="57"/>
        <item x="20"/>
        <item x="3"/>
        <item x="12"/>
        <item x="8"/>
        <item x="60"/>
        <item x="15"/>
        <item x="46"/>
        <item x="49"/>
        <item x="64"/>
        <item x="48"/>
        <item x="38"/>
        <item x="42"/>
        <item x="62"/>
        <item x="32"/>
        <item x="58"/>
        <item x="51"/>
        <item x="25"/>
        <item x="45"/>
        <item x="67"/>
        <item x="63"/>
        <item x="68"/>
        <item x="69"/>
        <item x="41"/>
        <item x="27"/>
        <item x="2"/>
        <item x="30"/>
        <item x="7"/>
        <item x="36"/>
        <item x="24"/>
        <item x="39"/>
        <item x="6"/>
        <item x="44"/>
        <item x="50"/>
        <item x="52"/>
        <item x="26"/>
        <item x="18"/>
        <item x="4"/>
        <item x="16"/>
        <item x="19"/>
        <item x="14"/>
        <item x="0"/>
        <item x="34"/>
        <item x="10"/>
        <item x="1"/>
        <item x="61"/>
        <item x="66"/>
        <item x="70"/>
        <item x="28"/>
        <item x="35"/>
        <item x="56"/>
        <item x="55"/>
        <item x="17"/>
        <item x="11"/>
        <item x="47"/>
        <item x="13"/>
        <item x="53"/>
        <item x="33"/>
        <item x="31"/>
        <item x="5"/>
        <item x="9"/>
        <item x="4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Revenue_KES" fld="9"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1" sourceName="Months">
  <pivotTables>
    <pivotTable tabId="6" name="PivotTable1"/>
    <pivotTable tabId="6" name="PivotTable3"/>
    <pivotTable tabId="6" name="PivotTable4"/>
    <pivotTable tabId="6" name="PivotTable5"/>
  </pivotTables>
  <data>
    <tabular pivotCacheId="1">
      <items count="12">
        <i x="3" s="1"/>
        <i x="10" s="1"/>
        <i x="4" s="1"/>
        <i x="7" s="1"/>
        <i x="9" s="1"/>
        <i x="0" s="1"/>
        <i x="5" s="1"/>
        <i x="6" s="1"/>
        <i x="2" s="1"/>
        <i x="1" s="1"/>
        <i x="8"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1" sourceName="Payment_Method">
  <pivotTables>
    <pivotTable tabId="6" name="PivotTable1"/>
    <pivotTable tabId="6" name="PivotTable3"/>
    <pivotTable tabId="6" name="PivotTable4"/>
    <pivotTable tabId="6" name="PivotTable5"/>
  </pivotTables>
  <data>
    <tabular pivotCacheId="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6" name="PivotTable1"/>
    <pivotTable tabId="6" name="PivotTable3"/>
    <pivotTable tabId="6" name="PivotTable4"/>
    <pivotTable tabId="6" name="PivotTable5"/>
  </pivotTables>
  <data>
    <tabular pivotCacheId="1">
      <items count="5">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cache="Slicer_Months1" caption="Months" style="SlicerStyleOther2" rowHeight="241300"/>
  <slicer name="Payment_Method" cache="Slicer_Payment_Method1" caption="Payment_Method" style="SlicerStyleOther2" rowHeight="241300"/>
  <slicer name="City" cache="Slicer_City1" caption="City" style="SlicerStyleOther2"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1"/>
  <sheetViews>
    <sheetView zoomScaleNormal="100" workbookViewId="0">
      <selection activeCell="D9" sqref="D9"/>
    </sheetView>
  </sheetViews>
  <sheetFormatPr defaultColWidth="8.6328125" defaultRowHeight="14.5" x14ac:dyDescent="0.35"/>
  <cols>
    <col min="1" max="1" width="13.6328125" customWidth="1"/>
    <col min="2" max="2" width="17.26953125" customWidth="1"/>
    <col min="3" max="3" width="10.81640625" customWidth="1"/>
    <col min="4" max="4" width="13.36328125" customWidth="1"/>
    <col min="5" max="5" width="16.81640625" customWidth="1"/>
  </cols>
  <sheetData>
    <row r="1" spans="1:5" x14ac:dyDescent="0.35">
      <c r="A1" t="s">
        <v>0</v>
      </c>
      <c r="B1" t="s">
        <v>1</v>
      </c>
      <c r="C1" t="s">
        <v>2</v>
      </c>
      <c r="D1" t="s">
        <v>3</v>
      </c>
    </row>
    <row r="2" spans="1:5" x14ac:dyDescent="0.35">
      <c r="A2" t="s">
        <v>4</v>
      </c>
      <c r="B2" t="s">
        <v>5</v>
      </c>
      <c r="C2">
        <v>23</v>
      </c>
      <c r="D2" t="s">
        <v>6</v>
      </c>
      <c r="E2" s="1"/>
    </row>
    <row r="3" spans="1:5" x14ac:dyDescent="0.35">
      <c r="A3" t="s">
        <v>7</v>
      </c>
      <c r="B3" t="s">
        <v>8</v>
      </c>
      <c r="C3">
        <v>60</v>
      </c>
      <c r="D3" t="s">
        <v>9</v>
      </c>
      <c r="E3" s="1"/>
    </row>
    <row r="4" spans="1:5" x14ac:dyDescent="0.35">
      <c r="A4" t="s">
        <v>10</v>
      </c>
      <c r="B4" t="s">
        <v>11</v>
      </c>
      <c r="C4">
        <v>26</v>
      </c>
      <c r="D4" t="s">
        <v>12</v>
      </c>
      <c r="E4" s="1"/>
    </row>
    <row r="5" spans="1:5" x14ac:dyDescent="0.35">
      <c r="A5" t="s">
        <v>13</v>
      </c>
      <c r="B5" t="s">
        <v>11</v>
      </c>
      <c r="C5">
        <v>42</v>
      </c>
      <c r="D5" t="s">
        <v>6</v>
      </c>
      <c r="E5" s="1"/>
    </row>
    <row r="6" spans="1:5" x14ac:dyDescent="0.35">
      <c r="A6" t="s">
        <v>14</v>
      </c>
      <c r="B6" t="s">
        <v>15</v>
      </c>
      <c r="C6">
        <v>19</v>
      </c>
      <c r="D6" t="s">
        <v>16</v>
      </c>
      <c r="E6" s="1"/>
    </row>
    <row r="7" spans="1:5" x14ac:dyDescent="0.35">
      <c r="A7" t="s">
        <v>17</v>
      </c>
      <c r="B7" t="s">
        <v>18</v>
      </c>
      <c r="C7">
        <v>64</v>
      </c>
      <c r="D7" t="s">
        <v>12</v>
      </c>
      <c r="E7" s="1"/>
    </row>
    <row r="8" spans="1:5" x14ac:dyDescent="0.35">
      <c r="A8" t="s">
        <v>19</v>
      </c>
      <c r="B8" t="s">
        <v>15</v>
      </c>
      <c r="C8">
        <v>44</v>
      </c>
      <c r="D8" t="s">
        <v>16</v>
      </c>
      <c r="E8" s="1"/>
    </row>
    <row r="9" spans="1:5" x14ac:dyDescent="0.35">
      <c r="A9" t="s">
        <v>20</v>
      </c>
      <c r="B9" t="s">
        <v>21</v>
      </c>
      <c r="C9">
        <v>58</v>
      </c>
      <c r="D9" t="s">
        <v>12</v>
      </c>
      <c r="E9" s="1"/>
    </row>
    <row r="10" spans="1:5" x14ac:dyDescent="0.35">
      <c r="A10" t="s">
        <v>22</v>
      </c>
      <c r="B10" t="s">
        <v>18</v>
      </c>
      <c r="C10">
        <v>38</v>
      </c>
      <c r="D10" t="s">
        <v>12</v>
      </c>
      <c r="E10" s="1"/>
    </row>
    <row r="11" spans="1:5" x14ac:dyDescent="0.35">
      <c r="A11" t="s">
        <v>23</v>
      </c>
      <c r="B11" t="s">
        <v>18</v>
      </c>
      <c r="C11">
        <v>49</v>
      </c>
      <c r="D11" t="s">
        <v>9</v>
      </c>
      <c r="E11" s="1"/>
    </row>
    <row r="12" spans="1:5" x14ac:dyDescent="0.35">
      <c r="A12" t="s">
        <v>24</v>
      </c>
      <c r="B12" t="s">
        <v>25</v>
      </c>
      <c r="C12">
        <v>48</v>
      </c>
      <c r="D12" t="s">
        <v>12</v>
      </c>
      <c r="E12" s="1"/>
    </row>
    <row r="13" spans="1:5" x14ac:dyDescent="0.35">
      <c r="A13" t="s">
        <v>26</v>
      </c>
      <c r="B13" t="s">
        <v>8</v>
      </c>
      <c r="C13">
        <v>47</v>
      </c>
      <c r="D13" t="s">
        <v>9</v>
      </c>
      <c r="E13" s="1"/>
    </row>
    <row r="14" spans="1:5" x14ac:dyDescent="0.35">
      <c r="A14" t="s">
        <v>27</v>
      </c>
      <c r="B14" t="s">
        <v>8</v>
      </c>
      <c r="C14">
        <v>36</v>
      </c>
      <c r="D14" t="s">
        <v>12</v>
      </c>
      <c r="E14" s="1"/>
    </row>
    <row r="15" spans="1:5" x14ac:dyDescent="0.35">
      <c r="A15" t="s">
        <v>28</v>
      </c>
      <c r="B15" t="s">
        <v>5</v>
      </c>
      <c r="C15">
        <v>25</v>
      </c>
      <c r="D15" t="s">
        <v>16</v>
      </c>
      <c r="E15" s="1"/>
    </row>
    <row r="16" spans="1:5" x14ac:dyDescent="0.35">
      <c r="A16" t="s">
        <v>29</v>
      </c>
      <c r="B16" t="s">
        <v>21</v>
      </c>
      <c r="C16">
        <v>20</v>
      </c>
      <c r="D16" t="s">
        <v>30</v>
      </c>
      <c r="E16" s="1"/>
    </row>
    <row r="17" spans="1:5" x14ac:dyDescent="0.35">
      <c r="A17" t="s">
        <v>31</v>
      </c>
      <c r="B17" t="s">
        <v>18</v>
      </c>
      <c r="C17">
        <v>44</v>
      </c>
      <c r="D17" t="s">
        <v>12</v>
      </c>
      <c r="E17" s="1"/>
    </row>
    <row r="18" spans="1:5" x14ac:dyDescent="0.35">
      <c r="A18" t="s">
        <v>32</v>
      </c>
      <c r="B18" t="s">
        <v>18</v>
      </c>
      <c r="C18">
        <v>61</v>
      </c>
      <c r="D18" t="s">
        <v>6</v>
      </c>
      <c r="E18" s="1"/>
    </row>
    <row r="19" spans="1:5" x14ac:dyDescent="0.35">
      <c r="A19" t="s">
        <v>33</v>
      </c>
      <c r="B19" t="s">
        <v>34</v>
      </c>
      <c r="C19">
        <v>65</v>
      </c>
      <c r="D19" t="s">
        <v>12</v>
      </c>
      <c r="E19" s="1"/>
    </row>
    <row r="20" spans="1:5" x14ac:dyDescent="0.35">
      <c r="A20" t="s">
        <v>35</v>
      </c>
      <c r="B20" t="s">
        <v>8</v>
      </c>
      <c r="C20">
        <v>60</v>
      </c>
      <c r="D20" t="s">
        <v>12</v>
      </c>
      <c r="E20" s="1"/>
    </row>
    <row r="21" spans="1:5" x14ac:dyDescent="0.35">
      <c r="A21" t="s">
        <v>36</v>
      </c>
      <c r="B21" t="s">
        <v>15</v>
      </c>
      <c r="C21">
        <v>48</v>
      </c>
      <c r="D21" t="s">
        <v>30</v>
      </c>
      <c r="E21" s="1"/>
    </row>
    <row r="22" spans="1:5" x14ac:dyDescent="0.35">
      <c r="A22" t="s">
        <v>37</v>
      </c>
      <c r="B22" t="s">
        <v>38</v>
      </c>
      <c r="C22">
        <v>26</v>
      </c>
      <c r="D22" t="s">
        <v>16</v>
      </c>
      <c r="E22" s="1"/>
    </row>
    <row r="23" spans="1:5" x14ac:dyDescent="0.35">
      <c r="A23" t="s">
        <v>39</v>
      </c>
      <c r="B23" t="s">
        <v>38</v>
      </c>
      <c r="C23">
        <v>21</v>
      </c>
      <c r="D23" t="s">
        <v>9</v>
      </c>
      <c r="E23" s="1"/>
    </row>
    <row r="24" spans="1:5" x14ac:dyDescent="0.35">
      <c r="A24" t="s">
        <v>40</v>
      </c>
      <c r="B24" t="s">
        <v>5</v>
      </c>
      <c r="C24">
        <v>45</v>
      </c>
      <c r="D24" t="s">
        <v>30</v>
      </c>
      <c r="E24" s="1"/>
    </row>
    <row r="25" spans="1:5" x14ac:dyDescent="0.35">
      <c r="A25" t="s">
        <v>41</v>
      </c>
      <c r="B25" t="s">
        <v>8</v>
      </c>
      <c r="C25">
        <v>25</v>
      </c>
      <c r="D25" t="s">
        <v>16</v>
      </c>
      <c r="E25" s="1"/>
    </row>
    <row r="26" spans="1:5" x14ac:dyDescent="0.35">
      <c r="A26" t="s">
        <v>42</v>
      </c>
      <c r="B26" t="s">
        <v>34</v>
      </c>
      <c r="C26">
        <v>59</v>
      </c>
      <c r="D26" t="s">
        <v>6</v>
      </c>
      <c r="E26" s="1"/>
    </row>
    <row r="27" spans="1:5" x14ac:dyDescent="0.35">
      <c r="A27" t="s">
        <v>43</v>
      </c>
      <c r="B27" t="s">
        <v>18</v>
      </c>
      <c r="C27">
        <v>59</v>
      </c>
      <c r="D27" t="s">
        <v>12</v>
      </c>
      <c r="E27" s="1"/>
    </row>
    <row r="28" spans="1:5" x14ac:dyDescent="0.35">
      <c r="A28" t="s">
        <v>44</v>
      </c>
      <c r="B28" t="s">
        <v>21</v>
      </c>
      <c r="C28">
        <v>61</v>
      </c>
      <c r="D28" t="s">
        <v>30</v>
      </c>
      <c r="E28" s="1"/>
    </row>
    <row r="29" spans="1:5" x14ac:dyDescent="0.35">
      <c r="A29" t="s">
        <v>45</v>
      </c>
      <c r="B29" t="s">
        <v>38</v>
      </c>
      <c r="C29">
        <v>57</v>
      </c>
      <c r="D29" t="s">
        <v>30</v>
      </c>
      <c r="E29" s="1"/>
    </row>
    <row r="30" spans="1:5" x14ac:dyDescent="0.35">
      <c r="A30" t="s">
        <v>46</v>
      </c>
      <c r="B30" t="s">
        <v>34</v>
      </c>
      <c r="C30">
        <v>59</v>
      </c>
      <c r="D30" t="s">
        <v>30</v>
      </c>
      <c r="E30" s="1"/>
    </row>
    <row r="31" spans="1:5" x14ac:dyDescent="0.35">
      <c r="A31" t="s">
        <v>47</v>
      </c>
      <c r="B31" t="s">
        <v>15</v>
      </c>
      <c r="C31">
        <v>43</v>
      </c>
      <c r="D31" t="s">
        <v>12</v>
      </c>
      <c r="E31" s="1"/>
    </row>
    <row r="32" spans="1:5" x14ac:dyDescent="0.35">
      <c r="A32" t="s">
        <v>48</v>
      </c>
      <c r="B32" t="s">
        <v>38</v>
      </c>
      <c r="C32">
        <v>59</v>
      </c>
      <c r="D32" t="s">
        <v>30</v>
      </c>
      <c r="E32" s="1"/>
    </row>
    <row r="33" spans="1:5" x14ac:dyDescent="0.35">
      <c r="A33" t="s">
        <v>49</v>
      </c>
      <c r="B33" t="s">
        <v>5</v>
      </c>
      <c r="C33">
        <v>21</v>
      </c>
      <c r="D33" t="s">
        <v>16</v>
      </c>
      <c r="E33" s="1"/>
    </row>
    <row r="34" spans="1:5" x14ac:dyDescent="0.35">
      <c r="A34" t="s">
        <v>50</v>
      </c>
      <c r="B34" t="s">
        <v>11</v>
      </c>
      <c r="C34">
        <v>19</v>
      </c>
      <c r="D34" t="s">
        <v>12</v>
      </c>
      <c r="E34" s="1"/>
    </row>
    <row r="35" spans="1:5" x14ac:dyDescent="0.35">
      <c r="A35" t="s">
        <v>51</v>
      </c>
      <c r="B35" t="s">
        <v>52</v>
      </c>
      <c r="C35">
        <v>57</v>
      </c>
      <c r="D35" t="s">
        <v>6</v>
      </c>
      <c r="E35" s="1"/>
    </row>
    <row r="36" spans="1:5" x14ac:dyDescent="0.35">
      <c r="A36" t="s">
        <v>53</v>
      </c>
      <c r="B36" t="s">
        <v>38</v>
      </c>
      <c r="C36">
        <v>62</v>
      </c>
      <c r="D36" t="s">
        <v>30</v>
      </c>
      <c r="E36" s="1"/>
    </row>
    <row r="37" spans="1:5" x14ac:dyDescent="0.35">
      <c r="A37" t="s">
        <v>54</v>
      </c>
      <c r="B37" t="s">
        <v>15</v>
      </c>
      <c r="C37">
        <v>55</v>
      </c>
      <c r="D37" t="s">
        <v>6</v>
      </c>
      <c r="E37" s="1"/>
    </row>
    <row r="38" spans="1:5" x14ac:dyDescent="0.35">
      <c r="A38" t="s">
        <v>55</v>
      </c>
      <c r="B38" t="s">
        <v>8</v>
      </c>
      <c r="C38">
        <v>26</v>
      </c>
      <c r="D38" t="s">
        <v>16</v>
      </c>
      <c r="E38" s="1"/>
    </row>
    <row r="39" spans="1:5" x14ac:dyDescent="0.35">
      <c r="A39" t="s">
        <v>56</v>
      </c>
      <c r="B39" t="s">
        <v>5</v>
      </c>
      <c r="C39">
        <v>51</v>
      </c>
      <c r="D39" t="s">
        <v>16</v>
      </c>
      <c r="E39" s="1"/>
    </row>
    <row r="40" spans="1:5" x14ac:dyDescent="0.35">
      <c r="A40" t="s">
        <v>57</v>
      </c>
      <c r="B40" t="s">
        <v>38</v>
      </c>
      <c r="C40">
        <v>22</v>
      </c>
      <c r="D40" t="s">
        <v>16</v>
      </c>
      <c r="E40" s="1"/>
    </row>
    <row r="41" spans="1:5" x14ac:dyDescent="0.35">
      <c r="A41" t="s">
        <v>58</v>
      </c>
      <c r="B41" t="s">
        <v>52</v>
      </c>
      <c r="C41">
        <v>29</v>
      </c>
      <c r="D41" t="s">
        <v>12</v>
      </c>
      <c r="E41" s="1"/>
    </row>
    <row r="42" spans="1:5" x14ac:dyDescent="0.35">
      <c r="A42" t="s">
        <v>59</v>
      </c>
      <c r="B42" t="s">
        <v>15</v>
      </c>
      <c r="C42">
        <v>46</v>
      </c>
      <c r="D42" t="s">
        <v>16</v>
      </c>
      <c r="E42" s="1"/>
    </row>
    <row r="43" spans="1:5" x14ac:dyDescent="0.35">
      <c r="A43" t="s">
        <v>60</v>
      </c>
      <c r="B43" t="s">
        <v>11</v>
      </c>
      <c r="C43">
        <v>38</v>
      </c>
      <c r="D43" t="s">
        <v>30</v>
      </c>
      <c r="E43" s="1"/>
    </row>
    <row r="44" spans="1:5" x14ac:dyDescent="0.35">
      <c r="A44" t="s">
        <v>61</v>
      </c>
      <c r="B44" t="s">
        <v>34</v>
      </c>
      <c r="C44">
        <v>36</v>
      </c>
      <c r="D44" t="s">
        <v>12</v>
      </c>
      <c r="E44" s="1"/>
    </row>
    <row r="45" spans="1:5" x14ac:dyDescent="0.35">
      <c r="A45" t="s">
        <v>62</v>
      </c>
      <c r="B45" t="s">
        <v>21</v>
      </c>
      <c r="C45">
        <v>62</v>
      </c>
      <c r="D45" t="s">
        <v>9</v>
      </c>
      <c r="E45" s="1"/>
    </row>
    <row r="46" spans="1:5" x14ac:dyDescent="0.35">
      <c r="A46" t="s">
        <v>63</v>
      </c>
      <c r="B46" t="s">
        <v>8</v>
      </c>
      <c r="C46">
        <v>21</v>
      </c>
      <c r="D46" t="s">
        <v>12</v>
      </c>
      <c r="E46" s="1"/>
    </row>
    <row r="47" spans="1:5" x14ac:dyDescent="0.35">
      <c r="A47" t="s">
        <v>64</v>
      </c>
      <c r="B47" t="s">
        <v>38</v>
      </c>
      <c r="C47">
        <v>57</v>
      </c>
      <c r="D47" t="s">
        <v>12</v>
      </c>
      <c r="E47" s="1"/>
    </row>
    <row r="48" spans="1:5" x14ac:dyDescent="0.35">
      <c r="A48" t="s">
        <v>65</v>
      </c>
      <c r="B48" t="s">
        <v>25</v>
      </c>
      <c r="C48">
        <v>60</v>
      </c>
      <c r="D48" t="s">
        <v>12</v>
      </c>
      <c r="E48" s="1"/>
    </row>
    <row r="49" spans="1:5" x14ac:dyDescent="0.35">
      <c r="A49" t="s">
        <v>66</v>
      </c>
      <c r="B49" t="s">
        <v>25</v>
      </c>
      <c r="C49">
        <v>23</v>
      </c>
      <c r="D49" t="s">
        <v>16</v>
      </c>
      <c r="E49" s="1"/>
    </row>
    <row r="50" spans="1:5" x14ac:dyDescent="0.35">
      <c r="A50" t="s">
        <v>67</v>
      </c>
      <c r="B50" t="s">
        <v>25</v>
      </c>
      <c r="C50">
        <v>56</v>
      </c>
      <c r="D50" t="s">
        <v>9</v>
      </c>
      <c r="E50" s="1"/>
    </row>
    <row r="51" spans="1:5" x14ac:dyDescent="0.35">
      <c r="A51" t="s">
        <v>68</v>
      </c>
      <c r="B51" t="s">
        <v>38</v>
      </c>
      <c r="C51">
        <v>46</v>
      </c>
      <c r="D51" t="s">
        <v>12</v>
      </c>
      <c r="E51" s="1"/>
    </row>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topLeftCell="A2" zoomScaleNormal="100" workbookViewId="0">
      <selection activeCell="C2" sqref="C2"/>
    </sheetView>
  </sheetViews>
  <sheetFormatPr defaultColWidth="8.6328125" defaultRowHeight="14.5" x14ac:dyDescent="0.35"/>
  <cols>
    <col min="1" max="1" width="13" customWidth="1"/>
    <col min="2" max="2" width="18" customWidth="1"/>
    <col min="3" max="3" width="16.26953125" customWidth="1"/>
    <col min="4" max="4" width="15.54296875" customWidth="1"/>
    <col min="5" max="5" width="13.08984375" customWidth="1"/>
  </cols>
  <sheetData>
    <row r="1" spans="1:4" x14ac:dyDescent="0.35">
      <c r="A1" t="s">
        <v>69</v>
      </c>
      <c r="B1" t="s">
        <v>70</v>
      </c>
      <c r="C1" t="s">
        <v>71</v>
      </c>
      <c r="D1" t="s">
        <v>72</v>
      </c>
    </row>
    <row r="2" spans="1:4" x14ac:dyDescent="0.35">
      <c r="A2" t="s">
        <v>73</v>
      </c>
      <c r="B2" t="s">
        <v>74</v>
      </c>
      <c r="C2" t="s">
        <v>75</v>
      </c>
      <c r="D2" s="2">
        <v>1780</v>
      </c>
    </row>
    <row r="3" spans="1:4" x14ac:dyDescent="0.35">
      <c r="A3" t="s">
        <v>76</v>
      </c>
      <c r="B3" t="s">
        <v>77</v>
      </c>
      <c r="C3" t="s">
        <v>78</v>
      </c>
      <c r="D3" s="2">
        <v>19883</v>
      </c>
    </row>
    <row r="4" spans="1:4" x14ac:dyDescent="0.35">
      <c r="A4" t="s">
        <v>79</v>
      </c>
      <c r="B4" t="s">
        <v>80</v>
      </c>
      <c r="C4" t="s">
        <v>81</v>
      </c>
      <c r="D4" s="2">
        <v>6948</v>
      </c>
    </row>
    <row r="5" spans="1:4" x14ac:dyDescent="0.35">
      <c r="A5" t="s">
        <v>82</v>
      </c>
      <c r="B5" t="s">
        <v>80</v>
      </c>
      <c r="C5" t="s">
        <v>81</v>
      </c>
      <c r="D5" s="2">
        <v>17614</v>
      </c>
    </row>
    <row r="6" spans="1:4" x14ac:dyDescent="0.35">
      <c r="A6" t="s">
        <v>83</v>
      </c>
      <c r="B6" t="s">
        <v>84</v>
      </c>
      <c r="C6" t="s">
        <v>75</v>
      </c>
      <c r="D6" s="2">
        <v>8875</v>
      </c>
    </row>
    <row r="7" spans="1:4" x14ac:dyDescent="0.35">
      <c r="A7" t="s">
        <v>85</v>
      </c>
      <c r="B7" t="s">
        <v>86</v>
      </c>
      <c r="C7" t="s">
        <v>87</v>
      </c>
      <c r="D7" s="2">
        <v>13649</v>
      </c>
    </row>
    <row r="8" spans="1:4" x14ac:dyDescent="0.35">
      <c r="A8" t="s">
        <v>88</v>
      </c>
      <c r="B8" t="s">
        <v>89</v>
      </c>
      <c r="C8" t="s">
        <v>90</v>
      </c>
      <c r="D8" s="2">
        <v>11625</v>
      </c>
    </row>
    <row r="9" spans="1:4" x14ac:dyDescent="0.35">
      <c r="A9" t="s">
        <v>91</v>
      </c>
      <c r="B9" t="s">
        <v>92</v>
      </c>
      <c r="C9" t="s">
        <v>78</v>
      </c>
      <c r="D9" s="2">
        <v>19088</v>
      </c>
    </row>
    <row r="10" spans="1:4" x14ac:dyDescent="0.35">
      <c r="A10" t="s">
        <v>93</v>
      </c>
      <c r="B10" t="s">
        <v>89</v>
      </c>
      <c r="C10" t="s">
        <v>90</v>
      </c>
      <c r="D10" s="2">
        <v>7963</v>
      </c>
    </row>
    <row r="11" spans="1:4" x14ac:dyDescent="0.35">
      <c r="A11" t="s">
        <v>94</v>
      </c>
      <c r="B11" t="s">
        <v>95</v>
      </c>
      <c r="C11" t="s">
        <v>90</v>
      </c>
      <c r="D11" s="2">
        <v>18012</v>
      </c>
    </row>
    <row r="12" spans="1:4" x14ac:dyDescent="0.35">
      <c r="A12" t="s">
        <v>96</v>
      </c>
      <c r="B12" t="s">
        <v>77</v>
      </c>
      <c r="C12" t="s">
        <v>78</v>
      </c>
      <c r="D12" s="2">
        <v>5104</v>
      </c>
    </row>
    <row r="13" spans="1:4" x14ac:dyDescent="0.35">
      <c r="A13" t="s">
        <v>97</v>
      </c>
      <c r="B13" t="s">
        <v>80</v>
      </c>
      <c r="C13" t="s">
        <v>81</v>
      </c>
      <c r="D13" s="2">
        <v>19755</v>
      </c>
    </row>
    <row r="14" spans="1:4" x14ac:dyDescent="0.35">
      <c r="A14" t="s">
        <v>98</v>
      </c>
      <c r="B14" t="s">
        <v>80</v>
      </c>
      <c r="C14" t="s">
        <v>81</v>
      </c>
      <c r="D14" s="2">
        <v>19968</v>
      </c>
    </row>
    <row r="15" spans="1:4" x14ac:dyDescent="0.35">
      <c r="A15" t="s">
        <v>99</v>
      </c>
      <c r="B15" t="s">
        <v>89</v>
      </c>
      <c r="C15" t="s">
        <v>90</v>
      </c>
      <c r="D15" s="2">
        <v>8083</v>
      </c>
    </row>
    <row r="16" spans="1:4" x14ac:dyDescent="0.35">
      <c r="A16" t="s">
        <v>100</v>
      </c>
      <c r="B16" t="s">
        <v>86</v>
      </c>
      <c r="C16" t="s">
        <v>87</v>
      </c>
      <c r="D16" s="2">
        <v>17117</v>
      </c>
    </row>
    <row r="17" spans="1:4" x14ac:dyDescent="0.35">
      <c r="A17" t="s">
        <v>101</v>
      </c>
      <c r="B17" t="s">
        <v>74</v>
      </c>
      <c r="C17" t="s">
        <v>75</v>
      </c>
      <c r="D17" s="2">
        <v>3066</v>
      </c>
    </row>
    <row r="18" spans="1:4" x14ac:dyDescent="0.35">
      <c r="A18" t="s">
        <v>102</v>
      </c>
      <c r="B18" t="s">
        <v>77</v>
      </c>
      <c r="C18" t="s">
        <v>78</v>
      </c>
      <c r="D18" s="2">
        <v>3305</v>
      </c>
    </row>
    <row r="19" spans="1:4" x14ac:dyDescent="0.35">
      <c r="A19" t="s">
        <v>103</v>
      </c>
      <c r="B19" t="s">
        <v>80</v>
      </c>
      <c r="C19" t="s">
        <v>81</v>
      </c>
      <c r="D19" s="2">
        <v>7552</v>
      </c>
    </row>
    <row r="20" spans="1:4" x14ac:dyDescent="0.35">
      <c r="A20" t="s">
        <v>104</v>
      </c>
      <c r="B20" t="s">
        <v>92</v>
      </c>
      <c r="C20" t="s">
        <v>78</v>
      </c>
      <c r="D20" s="2">
        <v>8158</v>
      </c>
    </row>
    <row r="21" spans="1:4" x14ac:dyDescent="0.35">
      <c r="A21" t="s">
        <v>105</v>
      </c>
      <c r="B21" t="s">
        <v>95</v>
      </c>
      <c r="C21" t="s">
        <v>90</v>
      </c>
      <c r="D21" s="2">
        <v>4746</v>
      </c>
    </row>
    <row r="22" spans="1:4" x14ac:dyDescent="0.35">
      <c r="A22" t="s">
        <v>106</v>
      </c>
      <c r="B22" t="s">
        <v>77</v>
      </c>
      <c r="C22" t="s">
        <v>78</v>
      </c>
      <c r="D22" s="2">
        <v>13313</v>
      </c>
    </row>
    <row r="23" spans="1:4" x14ac:dyDescent="0.35">
      <c r="A23" t="s">
        <v>107</v>
      </c>
      <c r="B23" t="s">
        <v>108</v>
      </c>
      <c r="C23" t="s">
        <v>87</v>
      </c>
      <c r="D23" s="2">
        <v>18529</v>
      </c>
    </row>
    <row r="24" spans="1:4" x14ac:dyDescent="0.35">
      <c r="A24" t="s">
        <v>109</v>
      </c>
      <c r="B24" t="s">
        <v>84</v>
      </c>
      <c r="C24" t="s">
        <v>75</v>
      </c>
      <c r="D24" s="2">
        <v>16347</v>
      </c>
    </row>
    <row r="25" spans="1:4" x14ac:dyDescent="0.35">
      <c r="A25" t="s">
        <v>110</v>
      </c>
      <c r="B25" t="s">
        <v>80</v>
      </c>
      <c r="C25" t="s">
        <v>81</v>
      </c>
      <c r="D25" s="2">
        <v>15361</v>
      </c>
    </row>
    <row r="26" spans="1:4" x14ac:dyDescent="0.35">
      <c r="A26" t="s">
        <v>111</v>
      </c>
      <c r="B26" t="s">
        <v>92</v>
      </c>
      <c r="C26" t="s">
        <v>78</v>
      </c>
      <c r="D26" s="2">
        <v>12097</v>
      </c>
    </row>
    <row r="27" spans="1:4" x14ac:dyDescent="0.35">
      <c r="A27" t="s">
        <v>112</v>
      </c>
      <c r="B27" t="s">
        <v>84</v>
      </c>
      <c r="C27" t="s">
        <v>75</v>
      </c>
      <c r="D27" s="2">
        <v>8822</v>
      </c>
    </row>
    <row r="28" spans="1:4" x14ac:dyDescent="0.35">
      <c r="A28" t="s">
        <v>113</v>
      </c>
      <c r="B28" t="s">
        <v>86</v>
      </c>
      <c r="C28" t="s">
        <v>87</v>
      </c>
      <c r="D28" s="2">
        <v>7972</v>
      </c>
    </row>
    <row r="29" spans="1:4" x14ac:dyDescent="0.35">
      <c r="A29" t="s">
        <v>114</v>
      </c>
      <c r="B29" t="s">
        <v>115</v>
      </c>
      <c r="C29" t="s">
        <v>81</v>
      </c>
      <c r="D29" s="2">
        <v>2779</v>
      </c>
    </row>
    <row r="30" spans="1:4" x14ac:dyDescent="0.35">
      <c r="A30" t="s">
        <v>116</v>
      </c>
      <c r="B30" t="s">
        <v>92</v>
      </c>
      <c r="C30" t="s">
        <v>78</v>
      </c>
      <c r="D30" s="2">
        <v>8096</v>
      </c>
    </row>
    <row r="31" spans="1:4" x14ac:dyDescent="0.35">
      <c r="A31" t="s">
        <v>117</v>
      </c>
      <c r="B31" t="s">
        <v>95</v>
      </c>
      <c r="C31" t="s">
        <v>90</v>
      </c>
      <c r="D31" s="2">
        <v>8706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1"/>
  <sheetViews>
    <sheetView zoomScaleNormal="100" workbookViewId="0"/>
  </sheetViews>
  <sheetFormatPr defaultColWidth="8.6328125" defaultRowHeight="14.5" x14ac:dyDescent="0.35"/>
  <cols>
    <col min="1" max="1" width="12.6328125" customWidth="1"/>
    <col min="2" max="2" width="13.54296875" customWidth="1"/>
    <col min="3" max="4" width="14.36328125" customWidth="1"/>
    <col min="5" max="5" width="16" customWidth="1"/>
    <col min="7" max="7" width="15.81640625" customWidth="1"/>
    <col min="8" max="8" width="21.26953125" customWidth="1"/>
    <col min="9" max="9" width="14" customWidth="1"/>
    <col min="10" max="10" width="16" customWidth="1"/>
    <col min="11" max="11" width="12.1796875" customWidth="1"/>
  </cols>
  <sheetData>
    <row r="1" spans="1:11" x14ac:dyDescent="0.35">
      <c r="A1" t="s">
        <v>118</v>
      </c>
      <c r="B1" t="s">
        <v>0</v>
      </c>
      <c r="C1" t="s">
        <v>69</v>
      </c>
      <c r="D1" t="s">
        <v>119</v>
      </c>
      <c r="E1" t="s">
        <v>120</v>
      </c>
      <c r="F1" s="3" t="s">
        <v>121</v>
      </c>
      <c r="G1" t="s">
        <v>122</v>
      </c>
      <c r="H1" t="s">
        <v>3</v>
      </c>
      <c r="I1" s="8" t="s">
        <v>72</v>
      </c>
      <c r="J1" s="4" t="s">
        <v>123</v>
      </c>
      <c r="K1" t="s">
        <v>328</v>
      </c>
    </row>
    <row r="2" spans="1:11" x14ac:dyDescent="0.35">
      <c r="A2" t="s">
        <v>124</v>
      </c>
      <c r="B2" t="s">
        <v>59</v>
      </c>
      <c r="C2" t="s">
        <v>110</v>
      </c>
      <c r="D2" s="5" t="s">
        <v>125</v>
      </c>
      <c r="E2" s="5" t="str">
        <f t="shared" ref="E2:E33" si="0">TEXT(D2,"mmm")</f>
        <v>Jun</v>
      </c>
      <c r="F2">
        <v>3</v>
      </c>
      <c r="G2" t="s">
        <v>126</v>
      </c>
      <c r="H2" t="str">
        <f>VLOOKUP(B2, Customers!A:D, 4, FALSE())</f>
        <v>Kisumu</v>
      </c>
      <c r="I2" s="9">
        <f>VLOOKUP(C2,Products!$A:$D,4,FALSE())</f>
        <v>15361</v>
      </c>
      <c r="J2" s="6">
        <f t="shared" ref="J2:J33" si="1">I2*F2</f>
        <v>46083</v>
      </c>
      <c r="K2">
        <f>SUM(J2:J101)</f>
        <v>3770677</v>
      </c>
    </row>
    <row r="3" spans="1:11" x14ac:dyDescent="0.35">
      <c r="A3" t="s">
        <v>127</v>
      </c>
      <c r="B3" t="s">
        <v>17</v>
      </c>
      <c r="C3" t="s">
        <v>106</v>
      </c>
      <c r="D3" s="5" t="s">
        <v>128</v>
      </c>
      <c r="E3" s="5" t="str">
        <f t="shared" si="0"/>
        <v>Oct</v>
      </c>
      <c r="F3">
        <v>4</v>
      </c>
      <c r="G3" t="s">
        <v>129</v>
      </c>
      <c r="H3" t="str">
        <f>VLOOKUP(B3, Customers!A:D, 4, FALSE())</f>
        <v>Nairobi</v>
      </c>
      <c r="I3" s="9">
        <f>VLOOKUP(C3,Products!$A:$D,4,FALSE())</f>
        <v>13313</v>
      </c>
      <c r="J3" s="6">
        <f t="shared" si="1"/>
        <v>53252</v>
      </c>
    </row>
    <row r="4" spans="1:11" x14ac:dyDescent="0.35">
      <c r="A4" t="s">
        <v>130</v>
      </c>
      <c r="B4" t="s">
        <v>59</v>
      </c>
      <c r="C4" t="s">
        <v>106</v>
      </c>
      <c r="D4" s="5" t="s">
        <v>131</v>
      </c>
      <c r="E4" s="5" t="str">
        <f t="shared" si="0"/>
        <v>Jun</v>
      </c>
      <c r="F4">
        <v>2</v>
      </c>
      <c r="G4" t="s">
        <v>132</v>
      </c>
      <c r="H4" t="str">
        <f>VLOOKUP(B4, Customers!A:D, 4, FALSE())</f>
        <v>Kisumu</v>
      </c>
      <c r="I4" s="9">
        <f>VLOOKUP(C4,Products!$A:$D,4,FALSE())</f>
        <v>13313</v>
      </c>
      <c r="J4" s="6">
        <f t="shared" si="1"/>
        <v>26626</v>
      </c>
    </row>
    <row r="5" spans="1:11" x14ac:dyDescent="0.35">
      <c r="A5" t="s">
        <v>133</v>
      </c>
      <c r="B5" t="s">
        <v>49</v>
      </c>
      <c r="C5" t="s">
        <v>79</v>
      </c>
      <c r="D5" s="5" t="s">
        <v>134</v>
      </c>
      <c r="E5" s="5" t="str">
        <f t="shared" si="0"/>
        <v>Jun</v>
      </c>
      <c r="F5">
        <v>2</v>
      </c>
      <c r="G5" t="s">
        <v>129</v>
      </c>
      <c r="H5" t="str">
        <f>VLOOKUP(B5, Customers!A:D, 4, FALSE())</f>
        <v>Kisumu</v>
      </c>
      <c r="I5" s="9">
        <f>VLOOKUP(C5,Products!$A:$D,4,FALSE())</f>
        <v>6948</v>
      </c>
      <c r="J5" s="6">
        <f t="shared" si="1"/>
        <v>13896</v>
      </c>
    </row>
    <row r="6" spans="1:11" x14ac:dyDescent="0.35">
      <c r="A6" t="s">
        <v>135</v>
      </c>
      <c r="B6" t="s">
        <v>51</v>
      </c>
      <c r="C6" t="s">
        <v>85</v>
      </c>
      <c r="D6" s="5" t="s">
        <v>136</v>
      </c>
      <c r="E6" s="5" t="str">
        <f t="shared" si="0"/>
        <v>Sept</v>
      </c>
      <c r="F6">
        <v>3</v>
      </c>
      <c r="G6" t="s">
        <v>132</v>
      </c>
      <c r="H6" t="str">
        <f>VLOOKUP(B6, Customers!A:D, 4, FALSE())</f>
        <v>Eldoret</v>
      </c>
      <c r="I6" s="9">
        <f>VLOOKUP(C6,Products!$A:$D,4,FALSE())</f>
        <v>13649</v>
      </c>
      <c r="J6" s="6">
        <f t="shared" si="1"/>
        <v>40947</v>
      </c>
    </row>
    <row r="7" spans="1:11" x14ac:dyDescent="0.35">
      <c r="A7" t="s">
        <v>137</v>
      </c>
      <c r="B7" t="s">
        <v>13</v>
      </c>
      <c r="C7" t="s">
        <v>97</v>
      </c>
      <c r="D7" s="5" t="s">
        <v>138</v>
      </c>
      <c r="E7" s="5" t="str">
        <f t="shared" si="0"/>
        <v>Jan</v>
      </c>
      <c r="F7">
        <v>5</v>
      </c>
      <c r="G7" t="s">
        <v>132</v>
      </c>
      <c r="H7" t="str">
        <f>VLOOKUP(B7, Customers!A:D, 4, FALSE())</f>
        <v>Eldoret</v>
      </c>
      <c r="I7" s="9">
        <f>VLOOKUP(C7,Products!$A:$D,4,FALSE())</f>
        <v>19755</v>
      </c>
      <c r="J7" s="6">
        <f t="shared" si="1"/>
        <v>98775</v>
      </c>
    </row>
    <row r="8" spans="1:11" x14ac:dyDescent="0.35">
      <c r="A8" t="s">
        <v>139</v>
      </c>
      <c r="B8" t="s">
        <v>64</v>
      </c>
      <c r="C8" t="s">
        <v>112</v>
      </c>
      <c r="D8" s="5" t="s">
        <v>140</v>
      </c>
      <c r="E8" s="5" t="str">
        <f t="shared" si="0"/>
        <v>Mar</v>
      </c>
      <c r="F8">
        <v>4</v>
      </c>
      <c r="G8" t="s">
        <v>126</v>
      </c>
      <c r="H8" t="str">
        <f>VLOOKUP(B8, Customers!A:D, 4, FALSE())</f>
        <v>Nairobi</v>
      </c>
      <c r="I8" s="9">
        <f>VLOOKUP(C8,Products!$A:$D,4,FALSE())</f>
        <v>8822</v>
      </c>
      <c r="J8" s="6">
        <f t="shared" si="1"/>
        <v>35288</v>
      </c>
    </row>
    <row r="9" spans="1:11" x14ac:dyDescent="0.35">
      <c r="A9" t="s">
        <v>141</v>
      </c>
      <c r="B9" t="s">
        <v>60</v>
      </c>
      <c r="C9" t="s">
        <v>113</v>
      </c>
      <c r="D9" s="5" t="s">
        <v>142</v>
      </c>
      <c r="E9" s="5" t="str">
        <f t="shared" si="0"/>
        <v>Mar</v>
      </c>
      <c r="F9">
        <v>4</v>
      </c>
      <c r="G9" t="s">
        <v>132</v>
      </c>
      <c r="H9" t="str">
        <f>VLOOKUP(B9, Customers!A:D, 4, FALSE())</f>
        <v>Mombasa</v>
      </c>
      <c r="I9" s="9">
        <f>VLOOKUP(C9,Products!$A:$D,4,FALSE())</f>
        <v>7972</v>
      </c>
      <c r="J9" s="6">
        <f t="shared" si="1"/>
        <v>31888</v>
      </c>
    </row>
    <row r="10" spans="1:11" x14ac:dyDescent="0.35">
      <c r="A10" t="s">
        <v>143</v>
      </c>
      <c r="B10" t="s">
        <v>67</v>
      </c>
      <c r="C10" t="s">
        <v>103</v>
      </c>
      <c r="D10" s="5" t="s">
        <v>144</v>
      </c>
      <c r="E10" s="5" t="str">
        <f t="shared" si="0"/>
        <v>Jul</v>
      </c>
      <c r="F10">
        <v>2</v>
      </c>
      <c r="G10" t="s">
        <v>145</v>
      </c>
      <c r="H10" t="str">
        <f>VLOOKUP(B10, Customers!A:D, 4, FALSE())</f>
        <v>Nakuru</v>
      </c>
      <c r="I10" s="9">
        <f>VLOOKUP(C10,Products!$A:$D,4,FALSE())</f>
        <v>7552</v>
      </c>
      <c r="J10" s="6">
        <f t="shared" si="1"/>
        <v>15104</v>
      </c>
    </row>
    <row r="11" spans="1:11" x14ac:dyDescent="0.35">
      <c r="A11" t="s">
        <v>146</v>
      </c>
      <c r="B11" t="s">
        <v>66</v>
      </c>
      <c r="C11" t="s">
        <v>76</v>
      </c>
      <c r="D11" s="5" t="s">
        <v>147</v>
      </c>
      <c r="E11" s="5" t="str">
        <f t="shared" si="0"/>
        <v>Jan</v>
      </c>
      <c r="F11">
        <v>5</v>
      </c>
      <c r="G11" t="s">
        <v>132</v>
      </c>
      <c r="H11" t="str">
        <f>VLOOKUP(B11, Customers!A:D, 4, FALSE())</f>
        <v>Kisumu</v>
      </c>
      <c r="I11" s="9">
        <f>VLOOKUP(C11,Products!$A:$D,4,FALSE())</f>
        <v>19883</v>
      </c>
      <c r="J11" s="6">
        <f t="shared" si="1"/>
        <v>99415</v>
      </c>
    </row>
    <row r="12" spans="1:11" x14ac:dyDescent="0.35">
      <c r="A12" t="s">
        <v>148</v>
      </c>
      <c r="B12" t="s">
        <v>60</v>
      </c>
      <c r="C12" t="s">
        <v>82</v>
      </c>
      <c r="D12" s="5" t="s">
        <v>149</v>
      </c>
      <c r="E12" s="5" t="str">
        <f t="shared" si="0"/>
        <v>Mar</v>
      </c>
      <c r="F12">
        <v>3</v>
      </c>
      <c r="G12" t="s">
        <v>145</v>
      </c>
      <c r="H12" t="str">
        <f>VLOOKUP(B12, Customers!A:D, 4, FALSE())</f>
        <v>Mombasa</v>
      </c>
      <c r="I12" s="9">
        <f>VLOOKUP(C12,Products!$A:$D,4,FALSE())</f>
        <v>17614</v>
      </c>
      <c r="J12" s="6">
        <f t="shared" si="1"/>
        <v>52842</v>
      </c>
    </row>
    <row r="13" spans="1:11" x14ac:dyDescent="0.35">
      <c r="A13" t="s">
        <v>150</v>
      </c>
      <c r="B13" t="s">
        <v>57</v>
      </c>
      <c r="C13" t="s">
        <v>110</v>
      </c>
      <c r="D13" s="5" t="s">
        <v>151</v>
      </c>
      <c r="E13" s="5" t="str">
        <f t="shared" si="0"/>
        <v>Aug</v>
      </c>
      <c r="F13">
        <v>5</v>
      </c>
      <c r="G13" t="s">
        <v>132</v>
      </c>
      <c r="H13" t="str">
        <f>VLOOKUP(B13, Customers!A:D, 4, FALSE())</f>
        <v>Kisumu</v>
      </c>
      <c r="I13" s="9">
        <f>VLOOKUP(C13,Products!$A:$D,4,FALSE())</f>
        <v>15361</v>
      </c>
      <c r="J13" s="6">
        <f t="shared" si="1"/>
        <v>76805</v>
      </c>
    </row>
    <row r="14" spans="1:11" x14ac:dyDescent="0.35">
      <c r="A14" t="s">
        <v>152</v>
      </c>
      <c r="B14" t="s">
        <v>53</v>
      </c>
      <c r="C14" t="s">
        <v>105</v>
      </c>
      <c r="D14" s="5" t="s">
        <v>153</v>
      </c>
      <c r="E14" s="5" t="str">
        <f t="shared" si="0"/>
        <v>Apr</v>
      </c>
      <c r="F14">
        <v>3</v>
      </c>
      <c r="G14" t="s">
        <v>129</v>
      </c>
      <c r="H14" t="str">
        <f>VLOOKUP(B14, Customers!A:D, 4, FALSE())</f>
        <v>Mombasa</v>
      </c>
      <c r="I14" s="9">
        <f>VLOOKUP(C14,Products!$A:$D,4,FALSE())</f>
        <v>4746</v>
      </c>
      <c r="J14" s="6">
        <f t="shared" si="1"/>
        <v>14238</v>
      </c>
    </row>
    <row r="15" spans="1:11" x14ac:dyDescent="0.35">
      <c r="A15" t="s">
        <v>154</v>
      </c>
      <c r="B15" t="s">
        <v>50</v>
      </c>
      <c r="C15" t="s">
        <v>98</v>
      </c>
      <c r="D15" s="5" t="s">
        <v>155</v>
      </c>
      <c r="E15" s="5" t="str">
        <f t="shared" si="0"/>
        <v>Aug</v>
      </c>
      <c r="F15">
        <v>4</v>
      </c>
      <c r="G15" t="s">
        <v>129</v>
      </c>
      <c r="H15" t="str">
        <f>VLOOKUP(B15, Customers!A:D, 4, FALSE())</f>
        <v>Nairobi</v>
      </c>
      <c r="I15" s="9">
        <f>VLOOKUP(C15,Products!$A:$D,4,FALSE())</f>
        <v>19968</v>
      </c>
      <c r="J15" s="6">
        <f t="shared" si="1"/>
        <v>79872</v>
      </c>
    </row>
    <row r="16" spans="1:11" x14ac:dyDescent="0.35">
      <c r="A16" t="s">
        <v>156</v>
      </c>
      <c r="B16" t="s">
        <v>40</v>
      </c>
      <c r="C16" t="s">
        <v>83</v>
      </c>
      <c r="D16" s="5" t="s">
        <v>157</v>
      </c>
      <c r="E16" s="5" t="str">
        <f t="shared" si="0"/>
        <v>Nov</v>
      </c>
      <c r="F16">
        <v>5</v>
      </c>
      <c r="G16" t="s">
        <v>132</v>
      </c>
      <c r="H16" t="str">
        <f>VLOOKUP(B16, Customers!A:D, 4, FALSE())</f>
        <v>Mombasa</v>
      </c>
      <c r="I16" s="9">
        <f>VLOOKUP(C16,Products!$A:$D,4,FALSE())</f>
        <v>8875</v>
      </c>
      <c r="J16" s="6">
        <f t="shared" si="1"/>
        <v>44375</v>
      </c>
    </row>
    <row r="17" spans="1:10" x14ac:dyDescent="0.35">
      <c r="A17" t="s">
        <v>158</v>
      </c>
      <c r="B17" t="s">
        <v>36</v>
      </c>
      <c r="C17" t="s">
        <v>110</v>
      </c>
      <c r="D17" s="5" t="s">
        <v>159</v>
      </c>
      <c r="E17" s="5" t="str">
        <f t="shared" si="0"/>
        <v>Oct</v>
      </c>
      <c r="F17">
        <v>1</v>
      </c>
      <c r="G17" t="s">
        <v>129</v>
      </c>
      <c r="H17" t="str">
        <f>VLOOKUP(B17, Customers!A:D, 4, FALSE())</f>
        <v>Mombasa</v>
      </c>
      <c r="I17" s="9">
        <f>VLOOKUP(C17,Products!$A:$D,4,FALSE())</f>
        <v>15361</v>
      </c>
      <c r="J17" s="6">
        <f t="shared" si="1"/>
        <v>15361</v>
      </c>
    </row>
    <row r="18" spans="1:10" x14ac:dyDescent="0.35">
      <c r="A18" t="s">
        <v>160</v>
      </c>
      <c r="B18" t="s">
        <v>37</v>
      </c>
      <c r="C18" t="s">
        <v>117</v>
      </c>
      <c r="D18" s="5" t="s">
        <v>161</v>
      </c>
      <c r="E18" s="5" t="str">
        <f t="shared" si="0"/>
        <v>May</v>
      </c>
      <c r="F18">
        <v>5</v>
      </c>
      <c r="G18" t="s">
        <v>126</v>
      </c>
      <c r="H18" t="str">
        <f>VLOOKUP(B18, Customers!A:D, 4, FALSE())</f>
        <v>Kisumu</v>
      </c>
      <c r="I18" s="9">
        <f>VLOOKUP(C18,Products!$A:$D,4,FALSE())</f>
        <v>8706</v>
      </c>
      <c r="J18" s="6">
        <f t="shared" si="1"/>
        <v>43530</v>
      </c>
    </row>
    <row r="19" spans="1:10" x14ac:dyDescent="0.35">
      <c r="A19" t="s">
        <v>162</v>
      </c>
      <c r="B19" t="s">
        <v>7</v>
      </c>
      <c r="C19" t="s">
        <v>94</v>
      </c>
      <c r="D19" s="5" t="s">
        <v>163</v>
      </c>
      <c r="E19" s="5" t="str">
        <f t="shared" si="0"/>
        <v>Apr</v>
      </c>
      <c r="F19">
        <v>4</v>
      </c>
      <c r="G19" t="s">
        <v>129</v>
      </c>
      <c r="H19" t="str">
        <f>VLOOKUP(B19, Customers!A:D, 4, FALSE())</f>
        <v>Nakuru</v>
      </c>
      <c r="I19" s="9">
        <f>VLOOKUP(C19,Products!$A:$D,4,FALSE())</f>
        <v>18012</v>
      </c>
      <c r="J19" s="6">
        <f t="shared" si="1"/>
        <v>72048</v>
      </c>
    </row>
    <row r="20" spans="1:10" x14ac:dyDescent="0.35">
      <c r="A20" t="s">
        <v>164</v>
      </c>
      <c r="B20" t="s">
        <v>53</v>
      </c>
      <c r="C20" t="s">
        <v>99</v>
      </c>
      <c r="D20" s="5" t="s">
        <v>165</v>
      </c>
      <c r="E20" s="5" t="str">
        <f t="shared" si="0"/>
        <v>Mar</v>
      </c>
      <c r="F20">
        <v>5</v>
      </c>
      <c r="G20" t="s">
        <v>145</v>
      </c>
      <c r="H20" t="str">
        <f>VLOOKUP(B20, Customers!A:D, 4, FALSE())</f>
        <v>Mombasa</v>
      </c>
      <c r="I20" s="9">
        <f>VLOOKUP(C20,Products!$A:$D,4,FALSE())</f>
        <v>8083</v>
      </c>
      <c r="J20" s="6">
        <f t="shared" si="1"/>
        <v>40415</v>
      </c>
    </row>
    <row r="21" spans="1:10" x14ac:dyDescent="0.35">
      <c r="A21" t="s">
        <v>166</v>
      </c>
      <c r="B21" t="s">
        <v>4</v>
      </c>
      <c r="C21" t="s">
        <v>112</v>
      </c>
      <c r="D21" s="5" t="s">
        <v>167</v>
      </c>
      <c r="E21" s="5" t="str">
        <f t="shared" si="0"/>
        <v>Apr</v>
      </c>
      <c r="F21">
        <v>5</v>
      </c>
      <c r="G21" t="s">
        <v>126</v>
      </c>
      <c r="H21" t="str">
        <f>VLOOKUP(B21, Customers!A:D, 4, FALSE())</f>
        <v>Eldoret</v>
      </c>
      <c r="I21" s="9">
        <f>VLOOKUP(C21,Products!$A:$D,4,FALSE())</f>
        <v>8822</v>
      </c>
      <c r="J21" s="6">
        <f t="shared" si="1"/>
        <v>44110</v>
      </c>
    </row>
    <row r="22" spans="1:10" x14ac:dyDescent="0.35">
      <c r="A22" t="s">
        <v>168</v>
      </c>
      <c r="B22" t="s">
        <v>55</v>
      </c>
      <c r="C22" t="s">
        <v>117</v>
      </c>
      <c r="D22" s="5" t="s">
        <v>169</v>
      </c>
      <c r="E22" s="5" t="str">
        <f t="shared" si="0"/>
        <v>May</v>
      </c>
      <c r="F22">
        <v>5</v>
      </c>
      <c r="G22" t="s">
        <v>145</v>
      </c>
      <c r="H22" t="str">
        <f>VLOOKUP(B22, Customers!A:D, 4, FALSE())</f>
        <v>Kisumu</v>
      </c>
      <c r="I22" s="9">
        <f>VLOOKUP(C22,Products!$A:$D,4,FALSE())</f>
        <v>8706</v>
      </c>
      <c r="J22" s="6">
        <f t="shared" si="1"/>
        <v>43530</v>
      </c>
    </row>
    <row r="23" spans="1:10" x14ac:dyDescent="0.35">
      <c r="A23" t="s">
        <v>170</v>
      </c>
      <c r="B23" t="s">
        <v>32</v>
      </c>
      <c r="C23" t="s">
        <v>114</v>
      </c>
      <c r="D23" s="5" t="s">
        <v>171</v>
      </c>
      <c r="E23" s="5" t="str">
        <f t="shared" si="0"/>
        <v>May</v>
      </c>
      <c r="F23">
        <v>5</v>
      </c>
      <c r="G23" t="s">
        <v>126</v>
      </c>
      <c r="H23" t="str">
        <f>VLOOKUP(B23, Customers!A:D, 4, FALSE())</f>
        <v>Eldoret</v>
      </c>
      <c r="I23" s="9">
        <f>VLOOKUP(C23,Products!$A:$D,4,FALSE())</f>
        <v>2779</v>
      </c>
      <c r="J23" s="6">
        <f t="shared" si="1"/>
        <v>13895</v>
      </c>
    </row>
    <row r="24" spans="1:10" x14ac:dyDescent="0.35">
      <c r="A24" t="s">
        <v>172</v>
      </c>
      <c r="B24" t="s">
        <v>10</v>
      </c>
      <c r="C24" t="s">
        <v>114</v>
      </c>
      <c r="D24" s="5" t="s">
        <v>173</v>
      </c>
      <c r="E24" s="5" t="str">
        <f t="shared" si="0"/>
        <v>Apr</v>
      </c>
      <c r="F24">
        <v>2</v>
      </c>
      <c r="G24" t="s">
        <v>145</v>
      </c>
      <c r="H24" t="str">
        <f>VLOOKUP(B24, Customers!A:D, 4, FALSE())</f>
        <v>Nairobi</v>
      </c>
      <c r="I24" s="9">
        <f>VLOOKUP(C24,Products!$A:$D,4,FALSE())</f>
        <v>2779</v>
      </c>
      <c r="J24" s="6">
        <f t="shared" si="1"/>
        <v>5558</v>
      </c>
    </row>
    <row r="25" spans="1:10" x14ac:dyDescent="0.35">
      <c r="A25" t="s">
        <v>174</v>
      </c>
      <c r="B25" t="s">
        <v>32</v>
      </c>
      <c r="C25" t="s">
        <v>99</v>
      </c>
      <c r="D25" s="5" t="s">
        <v>175</v>
      </c>
      <c r="E25" s="5" t="str">
        <f t="shared" si="0"/>
        <v>Jun</v>
      </c>
      <c r="F25">
        <v>1</v>
      </c>
      <c r="G25" t="s">
        <v>129</v>
      </c>
      <c r="H25" t="str">
        <f>VLOOKUP(B25, Customers!A:D, 4, FALSE())</f>
        <v>Eldoret</v>
      </c>
      <c r="I25" s="9">
        <f>VLOOKUP(C25,Products!$A:$D,4,FALSE())</f>
        <v>8083</v>
      </c>
      <c r="J25" s="6">
        <f t="shared" si="1"/>
        <v>8083</v>
      </c>
    </row>
    <row r="26" spans="1:10" x14ac:dyDescent="0.35">
      <c r="A26" t="s">
        <v>176</v>
      </c>
      <c r="B26" t="s">
        <v>29</v>
      </c>
      <c r="C26" t="s">
        <v>114</v>
      </c>
      <c r="D26" s="5" t="s">
        <v>177</v>
      </c>
      <c r="E26" s="5" t="str">
        <f t="shared" si="0"/>
        <v>Jan</v>
      </c>
      <c r="F26">
        <v>1</v>
      </c>
      <c r="G26" t="s">
        <v>132</v>
      </c>
      <c r="H26" t="str">
        <f>VLOOKUP(B26, Customers!A:D, 4, FALSE())</f>
        <v>Mombasa</v>
      </c>
      <c r="I26" s="9">
        <f>VLOOKUP(C26,Products!$A:$D,4,FALSE())</f>
        <v>2779</v>
      </c>
      <c r="J26" s="6">
        <f t="shared" si="1"/>
        <v>2779</v>
      </c>
    </row>
    <row r="27" spans="1:10" x14ac:dyDescent="0.35">
      <c r="A27" t="s">
        <v>178</v>
      </c>
      <c r="B27" t="s">
        <v>22</v>
      </c>
      <c r="C27" t="s">
        <v>116</v>
      </c>
      <c r="D27" s="5" t="s">
        <v>179</v>
      </c>
      <c r="E27" s="5" t="str">
        <f t="shared" si="0"/>
        <v>Jan</v>
      </c>
      <c r="F27">
        <v>4</v>
      </c>
      <c r="G27" t="s">
        <v>145</v>
      </c>
      <c r="H27" t="str">
        <f>VLOOKUP(B27, Customers!A:D, 4, FALSE())</f>
        <v>Nairobi</v>
      </c>
      <c r="I27" s="9">
        <f>VLOOKUP(C27,Products!$A:$D,4,FALSE())</f>
        <v>8096</v>
      </c>
      <c r="J27" s="6">
        <f t="shared" si="1"/>
        <v>32384</v>
      </c>
    </row>
    <row r="28" spans="1:10" x14ac:dyDescent="0.35">
      <c r="A28" t="s">
        <v>180</v>
      </c>
      <c r="B28" t="s">
        <v>44</v>
      </c>
      <c r="C28" t="s">
        <v>96</v>
      </c>
      <c r="D28" s="5" t="s">
        <v>181</v>
      </c>
      <c r="E28" s="5" t="str">
        <f t="shared" si="0"/>
        <v>Aug</v>
      </c>
      <c r="F28">
        <v>4</v>
      </c>
      <c r="G28" t="s">
        <v>129</v>
      </c>
      <c r="H28" t="str">
        <f>VLOOKUP(B28, Customers!A:D, 4, FALSE())</f>
        <v>Mombasa</v>
      </c>
      <c r="I28" s="9">
        <f>VLOOKUP(C28,Products!$A:$D,4,FALSE())</f>
        <v>5104</v>
      </c>
      <c r="J28" s="6">
        <f t="shared" si="1"/>
        <v>20416</v>
      </c>
    </row>
    <row r="29" spans="1:10" x14ac:dyDescent="0.35">
      <c r="A29" t="s">
        <v>182</v>
      </c>
      <c r="B29" t="s">
        <v>32</v>
      </c>
      <c r="C29" t="s">
        <v>99</v>
      </c>
      <c r="D29" s="5" t="s">
        <v>183</v>
      </c>
      <c r="E29" s="5" t="str">
        <f t="shared" si="0"/>
        <v>Jul</v>
      </c>
      <c r="F29">
        <v>1</v>
      </c>
      <c r="G29" t="s">
        <v>129</v>
      </c>
      <c r="H29" t="str">
        <f>VLOOKUP(B29, Customers!A:D, 4, FALSE())</f>
        <v>Eldoret</v>
      </c>
      <c r="I29" s="9">
        <f>VLOOKUP(C29,Products!$A:$D,4,FALSE())</f>
        <v>8083</v>
      </c>
      <c r="J29" s="6">
        <f t="shared" si="1"/>
        <v>8083</v>
      </c>
    </row>
    <row r="30" spans="1:10" x14ac:dyDescent="0.35">
      <c r="A30" t="s">
        <v>184</v>
      </c>
      <c r="B30" t="s">
        <v>67</v>
      </c>
      <c r="C30" t="s">
        <v>113</v>
      </c>
      <c r="D30" s="5" t="s">
        <v>185</v>
      </c>
      <c r="E30" s="5" t="str">
        <f t="shared" si="0"/>
        <v>May</v>
      </c>
      <c r="F30">
        <v>5</v>
      </c>
      <c r="G30" t="s">
        <v>145</v>
      </c>
      <c r="H30" t="str">
        <f>VLOOKUP(B30, Customers!A:D, 4, FALSE())</f>
        <v>Nakuru</v>
      </c>
      <c r="I30" s="9">
        <f>VLOOKUP(C30,Products!$A:$D,4,FALSE())</f>
        <v>7972</v>
      </c>
      <c r="J30" s="6">
        <f t="shared" si="1"/>
        <v>39860</v>
      </c>
    </row>
    <row r="31" spans="1:10" x14ac:dyDescent="0.35">
      <c r="A31" t="s">
        <v>186</v>
      </c>
      <c r="B31" t="s">
        <v>41</v>
      </c>
      <c r="C31" t="s">
        <v>83</v>
      </c>
      <c r="D31" s="5" t="s">
        <v>187</v>
      </c>
      <c r="E31" s="5" t="str">
        <f t="shared" si="0"/>
        <v>Mar</v>
      </c>
      <c r="F31">
        <v>3</v>
      </c>
      <c r="G31" t="s">
        <v>129</v>
      </c>
      <c r="H31" t="str">
        <f>VLOOKUP(B31, Customers!A:D, 4, FALSE())</f>
        <v>Kisumu</v>
      </c>
      <c r="I31" s="9">
        <f>VLOOKUP(C31,Products!$A:$D,4,FALSE())</f>
        <v>8875</v>
      </c>
      <c r="J31" s="6">
        <f t="shared" si="1"/>
        <v>26625</v>
      </c>
    </row>
    <row r="32" spans="1:10" x14ac:dyDescent="0.35">
      <c r="A32" t="s">
        <v>188</v>
      </c>
      <c r="B32" t="s">
        <v>48</v>
      </c>
      <c r="C32" t="s">
        <v>88</v>
      </c>
      <c r="D32" s="5" t="s">
        <v>189</v>
      </c>
      <c r="E32" s="5" t="str">
        <f t="shared" si="0"/>
        <v>May</v>
      </c>
      <c r="F32">
        <v>5</v>
      </c>
      <c r="G32" t="s">
        <v>132</v>
      </c>
      <c r="H32" t="str">
        <f>VLOOKUP(B32, Customers!A:D, 4, FALSE())</f>
        <v>Mombasa</v>
      </c>
      <c r="I32" s="9">
        <f>VLOOKUP(C32,Products!$A:$D,4,FALSE())</f>
        <v>11625</v>
      </c>
      <c r="J32" s="6">
        <f t="shared" si="1"/>
        <v>58125</v>
      </c>
    </row>
    <row r="33" spans="1:10" x14ac:dyDescent="0.35">
      <c r="A33" t="s">
        <v>190</v>
      </c>
      <c r="B33" t="s">
        <v>7</v>
      </c>
      <c r="C33" t="s">
        <v>102</v>
      </c>
      <c r="D33" s="5" t="s">
        <v>191</v>
      </c>
      <c r="E33" s="5" t="str">
        <f t="shared" si="0"/>
        <v>Jan</v>
      </c>
      <c r="F33">
        <v>2</v>
      </c>
      <c r="G33" t="s">
        <v>132</v>
      </c>
      <c r="H33" t="str">
        <f>VLOOKUP(B33, Customers!A:D, 4, FALSE())</f>
        <v>Nakuru</v>
      </c>
      <c r="I33" s="9">
        <f>VLOOKUP(C33,Products!$A:$D,4,FALSE())</f>
        <v>3305</v>
      </c>
      <c r="J33" s="6">
        <f t="shared" si="1"/>
        <v>6610</v>
      </c>
    </row>
    <row r="34" spans="1:10" x14ac:dyDescent="0.35">
      <c r="A34" t="s">
        <v>192</v>
      </c>
      <c r="B34" t="s">
        <v>53</v>
      </c>
      <c r="C34" t="s">
        <v>112</v>
      </c>
      <c r="D34" s="5" t="s">
        <v>193</v>
      </c>
      <c r="E34" s="5" t="str">
        <f t="shared" ref="E34:E65" si="2">TEXT(D34,"mmm")</f>
        <v>Aug</v>
      </c>
      <c r="F34">
        <v>4</v>
      </c>
      <c r="G34" t="s">
        <v>132</v>
      </c>
      <c r="H34" t="str">
        <f>VLOOKUP(B34, Customers!A:D, 4, FALSE())</f>
        <v>Mombasa</v>
      </c>
      <c r="I34" s="9">
        <f>VLOOKUP(C34,Products!$A:$D,4,FALSE())</f>
        <v>8822</v>
      </c>
      <c r="J34" s="6">
        <f t="shared" ref="J34:J65" si="3">I34*F34</f>
        <v>35288</v>
      </c>
    </row>
    <row r="35" spans="1:10" x14ac:dyDescent="0.35">
      <c r="A35" t="s">
        <v>194</v>
      </c>
      <c r="B35" t="s">
        <v>66</v>
      </c>
      <c r="C35" t="s">
        <v>103</v>
      </c>
      <c r="D35" s="5" t="s">
        <v>195</v>
      </c>
      <c r="E35" s="5" t="str">
        <f t="shared" si="2"/>
        <v>Jul</v>
      </c>
      <c r="F35">
        <v>4</v>
      </c>
      <c r="G35" t="s">
        <v>132</v>
      </c>
      <c r="H35" t="str">
        <f>VLOOKUP(B35, Customers!A:D, 4, FALSE())</f>
        <v>Kisumu</v>
      </c>
      <c r="I35" s="9">
        <f>VLOOKUP(C35,Products!$A:$D,4,FALSE())</f>
        <v>7552</v>
      </c>
      <c r="J35" s="6">
        <f t="shared" si="3"/>
        <v>30208</v>
      </c>
    </row>
    <row r="36" spans="1:10" x14ac:dyDescent="0.35">
      <c r="A36" t="s">
        <v>196</v>
      </c>
      <c r="B36" t="s">
        <v>7</v>
      </c>
      <c r="C36" t="s">
        <v>91</v>
      </c>
      <c r="D36" s="5" t="s">
        <v>197</v>
      </c>
      <c r="E36" s="5" t="str">
        <f t="shared" si="2"/>
        <v>Aug</v>
      </c>
      <c r="F36">
        <v>5</v>
      </c>
      <c r="G36" t="s">
        <v>145</v>
      </c>
      <c r="H36" t="str">
        <f>VLOOKUP(B36, Customers!A:D, 4, FALSE())</f>
        <v>Nakuru</v>
      </c>
      <c r="I36" s="9">
        <f>VLOOKUP(C36,Products!$A:$D,4,FALSE())</f>
        <v>19088</v>
      </c>
      <c r="J36" s="6">
        <f t="shared" si="3"/>
        <v>95440</v>
      </c>
    </row>
    <row r="37" spans="1:10" x14ac:dyDescent="0.35">
      <c r="A37" t="s">
        <v>198</v>
      </c>
      <c r="B37" t="s">
        <v>61</v>
      </c>
      <c r="C37" t="s">
        <v>94</v>
      </c>
      <c r="D37" s="5" t="s">
        <v>199</v>
      </c>
      <c r="E37" s="5" t="str">
        <f t="shared" si="2"/>
        <v>Nov</v>
      </c>
      <c r="F37">
        <v>1</v>
      </c>
      <c r="G37" t="s">
        <v>145</v>
      </c>
      <c r="H37" t="str">
        <f>VLOOKUP(B37, Customers!A:D, 4, FALSE())</f>
        <v>Nairobi</v>
      </c>
      <c r="I37" s="9">
        <f>VLOOKUP(C37,Products!$A:$D,4,FALSE())</f>
        <v>18012</v>
      </c>
      <c r="J37" s="6">
        <f t="shared" si="3"/>
        <v>18012</v>
      </c>
    </row>
    <row r="38" spans="1:10" x14ac:dyDescent="0.35">
      <c r="A38" t="s">
        <v>200</v>
      </c>
      <c r="B38" t="s">
        <v>7</v>
      </c>
      <c r="C38" t="s">
        <v>82</v>
      </c>
      <c r="D38" s="5" t="s">
        <v>201</v>
      </c>
      <c r="E38" s="5" t="str">
        <f t="shared" si="2"/>
        <v>Oct</v>
      </c>
      <c r="F38">
        <v>5</v>
      </c>
      <c r="G38" t="s">
        <v>145</v>
      </c>
      <c r="H38" t="str">
        <f>VLOOKUP(B38, Customers!A:D, 4, FALSE())</f>
        <v>Nakuru</v>
      </c>
      <c r="I38" s="9">
        <f>VLOOKUP(C38,Products!$A:$D,4,FALSE())</f>
        <v>17614</v>
      </c>
      <c r="J38" s="6">
        <f t="shared" si="3"/>
        <v>88070</v>
      </c>
    </row>
    <row r="39" spans="1:10" x14ac:dyDescent="0.35">
      <c r="A39" t="s">
        <v>202</v>
      </c>
      <c r="B39" t="s">
        <v>28</v>
      </c>
      <c r="C39" t="s">
        <v>88</v>
      </c>
      <c r="D39" s="5" t="s">
        <v>144</v>
      </c>
      <c r="E39" s="5" t="str">
        <f t="shared" si="2"/>
        <v>Jul</v>
      </c>
      <c r="F39">
        <v>4</v>
      </c>
      <c r="G39" t="s">
        <v>145</v>
      </c>
      <c r="H39" t="str">
        <f>VLOOKUP(B39, Customers!A:D, 4, FALSE())</f>
        <v>Kisumu</v>
      </c>
      <c r="I39" s="9">
        <f>VLOOKUP(C39,Products!$A:$D,4,FALSE())</f>
        <v>11625</v>
      </c>
      <c r="J39" s="6">
        <f t="shared" si="3"/>
        <v>46500</v>
      </c>
    </row>
    <row r="40" spans="1:10" x14ac:dyDescent="0.35">
      <c r="A40" t="s">
        <v>203</v>
      </c>
      <c r="B40" t="s">
        <v>58</v>
      </c>
      <c r="C40" t="s">
        <v>98</v>
      </c>
      <c r="D40" s="5" t="s">
        <v>204</v>
      </c>
      <c r="E40" s="5" t="str">
        <f t="shared" si="2"/>
        <v>Feb</v>
      </c>
      <c r="F40">
        <v>3</v>
      </c>
      <c r="G40" t="s">
        <v>126</v>
      </c>
      <c r="H40" t="str">
        <f>VLOOKUP(B40, Customers!A:D, 4, FALSE())</f>
        <v>Nairobi</v>
      </c>
      <c r="I40" s="9">
        <f>VLOOKUP(C40,Products!$A:$D,4,FALSE())</f>
        <v>19968</v>
      </c>
      <c r="J40" s="6">
        <f t="shared" si="3"/>
        <v>59904</v>
      </c>
    </row>
    <row r="41" spans="1:10" x14ac:dyDescent="0.35">
      <c r="A41" t="s">
        <v>205</v>
      </c>
      <c r="B41" t="s">
        <v>53</v>
      </c>
      <c r="C41" t="s">
        <v>99</v>
      </c>
      <c r="D41" s="5" t="s">
        <v>206</v>
      </c>
      <c r="E41" s="5" t="str">
        <f t="shared" si="2"/>
        <v>Jun</v>
      </c>
      <c r="F41">
        <v>4</v>
      </c>
      <c r="G41" t="s">
        <v>126</v>
      </c>
      <c r="H41" t="str">
        <f>VLOOKUP(B41, Customers!A:D, 4, FALSE())</f>
        <v>Mombasa</v>
      </c>
      <c r="I41" s="9">
        <f>VLOOKUP(C41,Products!$A:$D,4,FALSE())</f>
        <v>8083</v>
      </c>
      <c r="J41" s="6">
        <f t="shared" si="3"/>
        <v>32332</v>
      </c>
    </row>
    <row r="42" spans="1:10" x14ac:dyDescent="0.35">
      <c r="A42" t="s">
        <v>207</v>
      </c>
      <c r="B42" t="s">
        <v>35</v>
      </c>
      <c r="C42" t="s">
        <v>93</v>
      </c>
      <c r="D42" s="5" t="s">
        <v>208</v>
      </c>
      <c r="E42" s="5" t="str">
        <f t="shared" si="2"/>
        <v>Feb</v>
      </c>
      <c r="F42">
        <v>1</v>
      </c>
      <c r="G42" t="s">
        <v>132</v>
      </c>
      <c r="H42" t="str">
        <f>VLOOKUP(B42, Customers!A:D, 4, FALSE())</f>
        <v>Nairobi</v>
      </c>
      <c r="I42" s="9">
        <f>VLOOKUP(C42,Products!$A:$D,4,FALSE())</f>
        <v>7963</v>
      </c>
      <c r="J42" s="6">
        <f t="shared" si="3"/>
        <v>7963</v>
      </c>
    </row>
    <row r="43" spans="1:10" x14ac:dyDescent="0.35">
      <c r="A43" t="s">
        <v>209</v>
      </c>
      <c r="B43" t="s">
        <v>50</v>
      </c>
      <c r="C43" t="s">
        <v>82</v>
      </c>
      <c r="D43" s="5" t="s">
        <v>210</v>
      </c>
      <c r="E43" s="5" t="str">
        <f t="shared" si="2"/>
        <v>Nov</v>
      </c>
      <c r="F43">
        <v>1</v>
      </c>
      <c r="G43" t="s">
        <v>126</v>
      </c>
      <c r="H43" t="str">
        <f>VLOOKUP(B43, Customers!A:D, 4, FALSE())</f>
        <v>Nairobi</v>
      </c>
      <c r="I43" s="9">
        <f>VLOOKUP(C43,Products!$A:$D,4,FALSE())</f>
        <v>17614</v>
      </c>
      <c r="J43" s="6">
        <f t="shared" si="3"/>
        <v>17614</v>
      </c>
    </row>
    <row r="44" spans="1:10" x14ac:dyDescent="0.35">
      <c r="A44" t="s">
        <v>211</v>
      </c>
      <c r="B44" t="s">
        <v>40</v>
      </c>
      <c r="C44" t="s">
        <v>109</v>
      </c>
      <c r="D44" s="5" t="s">
        <v>212</v>
      </c>
      <c r="E44" s="5" t="str">
        <f t="shared" si="2"/>
        <v>Dec</v>
      </c>
      <c r="F44">
        <v>2</v>
      </c>
      <c r="G44" t="s">
        <v>145</v>
      </c>
      <c r="H44" t="str">
        <f>VLOOKUP(B44, Customers!A:D, 4, FALSE())</f>
        <v>Mombasa</v>
      </c>
      <c r="I44" s="9">
        <f>VLOOKUP(C44,Products!$A:$D,4,FALSE())</f>
        <v>16347</v>
      </c>
      <c r="J44" s="6">
        <f t="shared" si="3"/>
        <v>32694</v>
      </c>
    </row>
    <row r="45" spans="1:10" x14ac:dyDescent="0.35">
      <c r="A45" t="s">
        <v>213</v>
      </c>
      <c r="B45" t="s">
        <v>54</v>
      </c>
      <c r="C45" t="s">
        <v>79</v>
      </c>
      <c r="D45" s="5" t="s">
        <v>214</v>
      </c>
      <c r="E45" s="5" t="str">
        <f t="shared" si="2"/>
        <v>Apr</v>
      </c>
      <c r="F45">
        <v>1</v>
      </c>
      <c r="G45" t="s">
        <v>129</v>
      </c>
      <c r="H45" t="str">
        <f>VLOOKUP(B45, Customers!A:D, 4, FALSE())</f>
        <v>Eldoret</v>
      </c>
      <c r="I45" s="9">
        <f>VLOOKUP(C45,Products!$A:$D,4,FALSE())</f>
        <v>6948</v>
      </c>
      <c r="J45" s="6">
        <f t="shared" si="3"/>
        <v>6948</v>
      </c>
    </row>
    <row r="46" spans="1:10" x14ac:dyDescent="0.35">
      <c r="A46" t="s">
        <v>215</v>
      </c>
      <c r="B46" t="s">
        <v>61</v>
      </c>
      <c r="C46" t="s">
        <v>117</v>
      </c>
      <c r="D46" s="5" t="s">
        <v>216</v>
      </c>
      <c r="E46" s="5" t="str">
        <f t="shared" si="2"/>
        <v>Jun</v>
      </c>
      <c r="F46">
        <v>3</v>
      </c>
      <c r="G46" t="s">
        <v>132</v>
      </c>
      <c r="H46" t="str">
        <f>VLOOKUP(B46, Customers!A:D, 4, FALSE())</f>
        <v>Nairobi</v>
      </c>
      <c r="I46" s="9">
        <f>VLOOKUP(C46,Products!$A:$D,4,FALSE())</f>
        <v>8706</v>
      </c>
      <c r="J46" s="6">
        <f t="shared" si="3"/>
        <v>26118</v>
      </c>
    </row>
    <row r="47" spans="1:10" x14ac:dyDescent="0.35">
      <c r="A47" t="s">
        <v>217</v>
      </c>
      <c r="B47" t="s">
        <v>46</v>
      </c>
      <c r="C47" t="s">
        <v>112</v>
      </c>
      <c r="D47" s="5" t="s">
        <v>218</v>
      </c>
      <c r="E47" s="5" t="str">
        <f t="shared" si="2"/>
        <v>Sept</v>
      </c>
      <c r="F47">
        <v>2</v>
      </c>
      <c r="G47" t="s">
        <v>145</v>
      </c>
      <c r="H47" t="str">
        <f>VLOOKUP(B47, Customers!A:D, 4, FALSE())</f>
        <v>Mombasa</v>
      </c>
      <c r="I47" s="9">
        <f>VLOOKUP(C47,Products!$A:$D,4,FALSE())</f>
        <v>8822</v>
      </c>
      <c r="J47" s="6">
        <f t="shared" si="3"/>
        <v>17644</v>
      </c>
    </row>
    <row r="48" spans="1:10" x14ac:dyDescent="0.35">
      <c r="A48" t="s">
        <v>219</v>
      </c>
      <c r="B48" t="s">
        <v>39</v>
      </c>
      <c r="C48" t="s">
        <v>98</v>
      </c>
      <c r="D48" s="5" t="s">
        <v>220</v>
      </c>
      <c r="E48" s="5" t="str">
        <f t="shared" si="2"/>
        <v>Jun</v>
      </c>
      <c r="F48">
        <v>5</v>
      </c>
      <c r="G48" t="s">
        <v>132</v>
      </c>
      <c r="H48" t="str">
        <f>VLOOKUP(B48, Customers!A:D, 4, FALSE())</f>
        <v>Nakuru</v>
      </c>
      <c r="I48" s="9">
        <f>VLOOKUP(C48,Products!$A:$D,4,FALSE())</f>
        <v>19968</v>
      </c>
      <c r="J48" s="6">
        <f t="shared" si="3"/>
        <v>99840</v>
      </c>
    </row>
    <row r="49" spans="1:10" x14ac:dyDescent="0.35">
      <c r="A49" t="s">
        <v>221</v>
      </c>
      <c r="B49" t="s">
        <v>64</v>
      </c>
      <c r="C49" t="s">
        <v>114</v>
      </c>
      <c r="D49" s="5" t="s">
        <v>177</v>
      </c>
      <c r="E49" s="5" t="str">
        <f t="shared" si="2"/>
        <v>Jan</v>
      </c>
      <c r="F49">
        <v>5</v>
      </c>
      <c r="G49" t="s">
        <v>129</v>
      </c>
      <c r="H49" t="str">
        <f>VLOOKUP(B49, Customers!A:D, 4, FALSE())</f>
        <v>Nairobi</v>
      </c>
      <c r="I49" s="9">
        <f>VLOOKUP(C49,Products!$A:$D,4,FALSE())</f>
        <v>2779</v>
      </c>
      <c r="J49" s="6">
        <f t="shared" si="3"/>
        <v>13895</v>
      </c>
    </row>
    <row r="50" spans="1:10" x14ac:dyDescent="0.35">
      <c r="A50" t="s">
        <v>222</v>
      </c>
      <c r="B50" t="s">
        <v>32</v>
      </c>
      <c r="C50" t="s">
        <v>91</v>
      </c>
      <c r="D50" s="5" t="s">
        <v>216</v>
      </c>
      <c r="E50" s="5" t="str">
        <f t="shared" si="2"/>
        <v>Jun</v>
      </c>
      <c r="F50">
        <v>5</v>
      </c>
      <c r="G50" t="s">
        <v>129</v>
      </c>
      <c r="H50" t="str">
        <f>VLOOKUP(B50, Customers!A:D, 4, FALSE())</f>
        <v>Eldoret</v>
      </c>
      <c r="I50" s="9">
        <f>VLOOKUP(C50,Products!$A:$D,4,FALSE())</f>
        <v>19088</v>
      </c>
      <c r="J50" s="6">
        <f t="shared" si="3"/>
        <v>95440</v>
      </c>
    </row>
    <row r="51" spans="1:10" x14ac:dyDescent="0.35">
      <c r="A51" t="s">
        <v>223</v>
      </c>
      <c r="B51" t="s">
        <v>35</v>
      </c>
      <c r="C51" t="s">
        <v>117</v>
      </c>
      <c r="D51" s="5" t="s">
        <v>224</v>
      </c>
      <c r="E51" s="5" t="str">
        <f t="shared" si="2"/>
        <v>Aug</v>
      </c>
      <c r="F51">
        <v>3</v>
      </c>
      <c r="G51" t="s">
        <v>145</v>
      </c>
      <c r="H51" t="str">
        <f>VLOOKUP(B51, Customers!A:D, 4, FALSE())</f>
        <v>Nairobi</v>
      </c>
      <c r="I51" s="9">
        <f>VLOOKUP(C51,Products!$A:$D,4,FALSE())</f>
        <v>8706</v>
      </c>
      <c r="J51" s="6">
        <f t="shared" si="3"/>
        <v>26118</v>
      </c>
    </row>
    <row r="52" spans="1:10" x14ac:dyDescent="0.35">
      <c r="A52" t="s">
        <v>225</v>
      </c>
      <c r="B52" t="s">
        <v>61</v>
      </c>
      <c r="C52" t="s">
        <v>112</v>
      </c>
      <c r="D52" s="5" t="s">
        <v>226</v>
      </c>
      <c r="E52" s="5" t="str">
        <f t="shared" si="2"/>
        <v>Apr</v>
      </c>
      <c r="F52">
        <v>2</v>
      </c>
      <c r="G52" t="s">
        <v>132</v>
      </c>
      <c r="H52" t="str">
        <f>VLOOKUP(B52, Customers!A:D, 4, FALSE())</f>
        <v>Nairobi</v>
      </c>
      <c r="I52" s="9">
        <f>VLOOKUP(C52,Products!$A:$D,4,FALSE())</f>
        <v>8822</v>
      </c>
      <c r="J52" s="6">
        <f t="shared" si="3"/>
        <v>17644</v>
      </c>
    </row>
    <row r="53" spans="1:10" x14ac:dyDescent="0.35">
      <c r="A53" t="s">
        <v>227</v>
      </c>
      <c r="B53" t="s">
        <v>67</v>
      </c>
      <c r="C53" t="s">
        <v>83</v>
      </c>
      <c r="D53" s="5" t="s">
        <v>228</v>
      </c>
      <c r="E53" s="5" t="str">
        <f t="shared" si="2"/>
        <v>Feb</v>
      </c>
      <c r="F53">
        <v>4</v>
      </c>
      <c r="G53" t="s">
        <v>126</v>
      </c>
      <c r="H53" t="str">
        <f>VLOOKUP(B53, Customers!A:D, 4, FALSE())</f>
        <v>Nakuru</v>
      </c>
      <c r="I53" s="9">
        <f>VLOOKUP(C53,Products!$A:$D,4,FALSE())</f>
        <v>8875</v>
      </c>
      <c r="J53" s="6">
        <f t="shared" si="3"/>
        <v>35500</v>
      </c>
    </row>
    <row r="54" spans="1:10" x14ac:dyDescent="0.35">
      <c r="A54" t="s">
        <v>229</v>
      </c>
      <c r="B54" t="s">
        <v>67</v>
      </c>
      <c r="C54" t="s">
        <v>103</v>
      </c>
      <c r="D54" s="5" t="s">
        <v>230</v>
      </c>
      <c r="E54" s="5" t="str">
        <f t="shared" si="2"/>
        <v>Jan</v>
      </c>
      <c r="F54">
        <v>3</v>
      </c>
      <c r="G54" t="s">
        <v>129</v>
      </c>
      <c r="H54" t="str">
        <f>VLOOKUP(B54, Customers!A:D, 4, FALSE())</f>
        <v>Nakuru</v>
      </c>
      <c r="I54" s="9">
        <f>VLOOKUP(C54,Products!$A:$D,4,FALSE())</f>
        <v>7552</v>
      </c>
      <c r="J54" s="6">
        <f t="shared" si="3"/>
        <v>22656</v>
      </c>
    </row>
    <row r="55" spans="1:10" x14ac:dyDescent="0.35">
      <c r="A55" t="s">
        <v>231</v>
      </c>
      <c r="B55" t="s">
        <v>47</v>
      </c>
      <c r="C55" t="s">
        <v>116</v>
      </c>
      <c r="D55" s="5" t="s">
        <v>232</v>
      </c>
      <c r="E55" s="5" t="str">
        <f t="shared" si="2"/>
        <v>Sept</v>
      </c>
      <c r="F55">
        <v>2</v>
      </c>
      <c r="G55" t="s">
        <v>132</v>
      </c>
      <c r="H55" t="str">
        <f>VLOOKUP(B55, Customers!A:D, 4, FALSE())</f>
        <v>Nairobi</v>
      </c>
      <c r="I55" s="9">
        <f>VLOOKUP(C55,Products!$A:$D,4,FALSE())</f>
        <v>8096</v>
      </c>
      <c r="J55" s="6">
        <f t="shared" si="3"/>
        <v>16192</v>
      </c>
    </row>
    <row r="56" spans="1:10" x14ac:dyDescent="0.35">
      <c r="A56" t="s">
        <v>233</v>
      </c>
      <c r="B56" t="s">
        <v>62</v>
      </c>
      <c r="C56" t="s">
        <v>79</v>
      </c>
      <c r="D56" s="5" t="s">
        <v>234</v>
      </c>
      <c r="E56" s="5" t="str">
        <f t="shared" si="2"/>
        <v>Feb</v>
      </c>
      <c r="F56">
        <v>1</v>
      </c>
      <c r="G56" t="s">
        <v>145</v>
      </c>
      <c r="H56" t="str">
        <f>VLOOKUP(B56, Customers!A:D, 4, FALSE())</f>
        <v>Nakuru</v>
      </c>
      <c r="I56" s="9">
        <f>VLOOKUP(C56,Products!$A:$D,4,FALSE())</f>
        <v>6948</v>
      </c>
      <c r="J56" s="6">
        <f t="shared" si="3"/>
        <v>6948</v>
      </c>
    </row>
    <row r="57" spans="1:10" x14ac:dyDescent="0.35">
      <c r="A57" t="s">
        <v>235</v>
      </c>
      <c r="B57" t="s">
        <v>59</v>
      </c>
      <c r="C57" t="s">
        <v>110</v>
      </c>
      <c r="D57" s="5" t="s">
        <v>236</v>
      </c>
      <c r="E57" s="5" t="str">
        <f t="shared" si="2"/>
        <v>May</v>
      </c>
      <c r="F57">
        <v>3</v>
      </c>
      <c r="G57" t="s">
        <v>145</v>
      </c>
      <c r="H57" t="str">
        <f>VLOOKUP(B57, Customers!A:D, 4, FALSE())</f>
        <v>Kisumu</v>
      </c>
      <c r="I57" s="9">
        <f>VLOOKUP(C57,Products!$A:$D,4,FALSE())</f>
        <v>15361</v>
      </c>
      <c r="J57" s="6">
        <f t="shared" si="3"/>
        <v>46083</v>
      </c>
    </row>
    <row r="58" spans="1:10" x14ac:dyDescent="0.35">
      <c r="A58" t="s">
        <v>237</v>
      </c>
      <c r="B58" t="s">
        <v>29</v>
      </c>
      <c r="C58" t="s">
        <v>105</v>
      </c>
      <c r="D58" s="5" t="s">
        <v>238</v>
      </c>
      <c r="E58" s="5" t="str">
        <f t="shared" si="2"/>
        <v>May</v>
      </c>
      <c r="F58">
        <v>3</v>
      </c>
      <c r="G58" t="s">
        <v>145</v>
      </c>
      <c r="H58" t="str">
        <f>VLOOKUP(B58, Customers!A:D, 4, FALSE())</f>
        <v>Mombasa</v>
      </c>
      <c r="I58" s="9">
        <f>VLOOKUP(C58,Products!$A:$D,4,FALSE())</f>
        <v>4746</v>
      </c>
      <c r="J58" s="6">
        <f t="shared" si="3"/>
        <v>14238</v>
      </c>
    </row>
    <row r="59" spans="1:10" x14ac:dyDescent="0.35">
      <c r="A59" t="s">
        <v>239</v>
      </c>
      <c r="B59" t="s">
        <v>39</v>
      </c>
      <c r="C59" t="s">
        <v>97</v>
      </c>
      <c r="D59" s="5" t="s">
        <v>240</v>
      </c>
      <c r="E59" s="5" t="str">
        <f t="shared" si="2"/>
        <v>Apr</v>
      </c>
      <c r="F59">
        <v>4</v>
      </c>
      <c r="G59" t="s">
        <v>145</v>
      </c>
      <c r="H59" t="str">
        <f>VLOOKUP(B59, Customers!A:D, 4, FALSE())</f>
        <v>Nakuru</v>
      </c>
      <c r="I59" s="9">
        <f>VLOOKUP(C59,Products!$A:$D,4,FALSE())</f>
        <v>19755</v>
      </c>
      <c r="J59" s="6">
        <f t="shared" si="3"/>
        <v>79020</v>
      </c>
    </row>
    <row r="60" spans="1:10" x14ac:dyDescent="0.35">
      <c r="A60" t="s">
        <v>241</v>
      </c>
      <c r="B60" t="s">
        <v>62</v>
      </c>
      <c r="C60" t="s">
        <v>117</v>
      </c>
      <c r="D60" s="5" t="s">
        <v>242</v>
      </c>
      <c r="E60" s="5" t="str">
        <f t="shared" si="2"/>
        <v>Jun</v>
      </c>
      <c r="F60">
        <v>2</v>
      </c>
      <c r="G60" t="s">
        <v>126</v>
      </c>
      <c r="H60" t="str">
        <f>VLOOKUP(B60, Customers!A:D, 4, FALSE())</f>
        <v>Nakuru</v>
      </c>
      <c r="I60" s="9">
        <f>VLOOKUP(C60,Products!$A:$D,4,FALSE())</f>
        <v>8706</v>
      </c>
      <c r="J60" s="6">
        <f t="shared" si="3"/>
        <v>17412</v>
      </c>
    </row>
    <row r="61" spans="1:10" x14ac:dyDescent="0.35">
      <c r="A61" t="s">
        <v>243</v>
      </c>
      <c r="B61" t="s">
        <v>28</v>
      </c>
      <c r="C61" t="s">
        <v>109</v>
      </c>
      <c r="D61" s="5" t="s">
        <v>171</v>
      </c>
      <c r="E61" s="5" t="str">
        <f t="shared" si="2"/>
        <v>May</v>
      </c>
      <c r="F61">
        <v>1</v>
      </c>
      <c r="G61" t="s">
        <v>129</v>
      </c>
      <c r="H61" t="str">
        <f>VLOOKUP(B61, Customers!A:D, 4, FALSE())</f>
        <v>Kisumu</v>
      </c>
      <c r="I61" s="9">
        <f>VLOOKUP(C61,Products!$A:$D,4,FALSE())</f>
        <v>16347</v>
      </c>
      <c r="J61" s="6">
        <f t="shared" si="3"/>
        <v>16347</v>
      </c>
    </row>
    <row r="62" spans="1:10" x14ac:dyDescent="0.35">
      <c r="A62" t="s">
        <v>244</v>
      </c>
      <c r="B62" t="s">
        <v>31</v>
      </c>
      <c r="C62" t="s">
        <v>91</v>
      </c>
      <c r="D62" s="5" t="s">
        <v>125</v>
      </c>
      <c r="E62" s="5" t="str">
        <f t="shared" si="2"/>
        <v>Jun</v>
      </c>
      <c r="F62">
        <v>5</v>
      </c>
      <c r="G62" t="s">
        <v>126</v>
      </c>
      <c r="H62" t="str">
        <f>VLOOKUP(B62, Customers!A:D, 4, FALSE())</f>
        <v>Nairobi</v>
      </c>
      <c r="I62" s="9">
        <f>VLOOKUP(C62,Products!$A:$D,4,FALSE())</f>
        <v>19088</v>
      </c>
      <c r="J62" s="6">
        <f t="shared" si="3"/>
        <v>95440</v>
      </c>
    </row>
    <row r="63" spans="1:10" x14ac:dyDescent="0.35">
      <c r="A63" t="s">
        <v>245</v>
      </c>
      <c r="B63" t="s">
        <v>46</v>
      </c>
      <c r="C63" t="s">
        <v>94</v>
      </c>
      <c r="D63" s="5" t="s">
        <v>246</v>
      </c>
      <c r="E63" s="5" t="str">
        <f t="shared" si="2"/>
        <v>Feb</v>
      </c>
      <c r="F63">
        <v>2</v>
      </c>
      <c r="G63" t="s">
        <v>126</v>
      </c>
      <c r="H63" t="str">
        <f>VLOOKUP(B63, Customers!A:D, 4, FALSE())</f>
        <v>Mombasa</v>
      </c>
      <c r="I63" s="9">
        <f>VLOOKUP(C63,Products!$A:$D,4,FALSE())</f>
        <v>18012</v>
      </c>
      <c r="J63" s="6">
        <f t="shared" si="3"/>
        <v>36024</v>
      </c>
    </row>
    <row r="64" spans="1:10" x14ac:dyDescent="0.35">
      <c r="A64" t="s">
        <v>247</v>
      </c>
      <c r="B64" t="s">
        <v>53</v>
      </c>
      <c r="C64" t="s">
        <v>98</v>
      </c>
      <c r="D64" s="5" t="s">
        <v>248</v>
      </c>
      <c r="E64" s="5" t="str">
        <f t="shared" si="2"/>
        <v>Jun</v>
      </c>
      <c r="F64">
        <v>1</v>
      </c>
      <c r="G64" t="s">
        <v>126</v>
      </c>
      <c r="H64" t="str">
        <f>VLOOKUP(B64, Customers!A:D, 4, FALSE())</f>
        <v>Mombasa</v>
      </c>
      <c r="I64" s="9">
        <f>VLOOKUP(C64,Products!$A:$D,4,FALSE())</f>
        <v>19968</v>
      </c>
      <c r="J64" s="6">
        <f t="shared" si="3"/>
        <v>19968</v>
      </c>
    </row>
    <row r="65" spans="1:10" x14ac:dyDescent="0.35">
      <c r="A65" t="s">
        <v>249</v>
      </c>
      <c r="B65" t="s">
        <v>53</v>
      </c>
      <c r="C65" t="s">
        <v>111</v>
      </c>
      <c r="D65" s="5" t="s">
        <v>250</v>
      </c>
      <c r="E65" s="5" t="str">
        <f t="shared" si="2"/>
        <v>Apr</v>
      </c>
      <c r="F65">
        <v>3</v>
      </c>
      <c r="G65" t="s">
        <v>132</v>
      </c>
      <c r="H65" t="str">
        <f>VLOOKUP(B65, Customers!A:D, 4, FALSE())</f>
        <v>Mombasa</v>
      </c>
      <c r="I65" s="9">
        <f>VLOOKUP(C65,Products!$A:$D,4,FALSE())</f>
        <v>12097</v>
      </c>
      <c r="J65" s="6">
        <f t="shared" si="3"/>
        <v>36291</v>
      </c>
    </row>
    <row r="66" spans="1:10" x14ac:dyDescent="0.35">
      <c r="A66" t="s">
        <v>251</v>
      </c>
      <c r="B66" t="s">
        <v>24</v>
      </c>
      <c r="C66" t="s">
        <v>109</v>
      </c>
      <c r="D66" s="5" t="s">
        <v>224</v>
      </c>
      <c r="E66" s="5" t="str">
        <f t="shared" ref="E66:E97" si="4">TEXT(D66,"mmm")</f>
        <v>Aug</v>
      </c>
      <c r="F66">
        <v>2</v>
      </c>
      <c r="G66" t="s">
        <v>145</v>
      </c>
      <c r="H66" t="str">
        <f>VLOOKUP(B66, Customers!A:D, 4, FALSE())</f>
        <v>Nairobi</v>
      </c>
      <c r="I66" s="9">
        <f>VLOOKUP(C66,Products!$A:$D,4,FALSE())</f>
        <v>16347</v>
      </c>
      <c r="J66" s="6">
        <f t="shared" ref="J66:J97" si="5">I66*F66</f>
        <v>32694</v>
      </c>
    </row>
    <row r="67" spans="1:10" x14ac:dyDescent="0.35">
      <c r="A67" t="s">
        <v>252</v>
      </c>
      <c r="B67" t="s">
        <v>45</v>
      </c>
      <c r="C67" t="s">
        <v>109</v>
      </c>
      <c r="D67" s="5" t="s">
        <v>253</v>
      </c>
      <c r="E67" s="5" t="str">
        <f t="shared" si="4"/>
        <v>Jun</v>
      </c>
      <c r="F67">
        <v>5</v>
      </c>
      <c r="G67" t="s">
        <v>132</v>
      </c>
      <c r="H67" t="str">
        <f>VLOOKUP(B67, Customers!A:D, 4, FALSE())</f>
        <v>Mombasa</v>
      </c>
      <c r="I67" s="9">
        <f>VLOOKUP(C67,Products!$A:$D,4,FALSE())</f>
        <v>16347</v>
      </c>
      <c r="J67" s="6">
        <f t="shared" si="5"/>
        <v>81735</v>
      </c>
    </row>
    <row r="68" spans="1:10" x14ac:dyDescent="0.35">
      <c r="A68" t="s">
        <v>254</v>
      </c>
      <c r="B68" t="s">
        <v>65</v>
      </c>
      <c r="C68" t="s">
        <v>73</v>
      </c>
      <c r="D68" s="5" t="s">
        <v>255</v>
      </c>
      <c r="E68" s="5" t="str">
        <f t="shared" si="4"/>
        <v>Nov</v>
      </c>
      <c r="F68">
        <v>1</v>
      </c>
      <c r="G68" t="s">
        <v>132</v>
      </c>
      <c r="H68" t="str">
        <f>VLOOKUP(B68, Customers!A:D, 4, FALSE())</f>
        <v>Nairobi</v>
      </c>
      <c r="I68" s="9">
        <f>VLOOKUP(C68,Products!$A:$D,4,FALSE())</f>
        <v>1780</v>
      </c>
      <c r="J68" s="6">
        <f t="shared" si="5"/>
        <v>1780</v>
      </c>
    </row>
    <row r="69" spans="1:10" x14ac:dyDescent="0.35">
      <c r="A69" t="s">
        <v>256</v>
      </c>
      <c r="B69" t="s">
        <v>20</v>
      </c>
      <c r="C69" t="s">
        <v>100</v>
      </c>
      <c r="D69" s="5" t="s">
        <v>257</v>
      </c>
      <c r="E69" s="5" t="str">
        <f t="shared" si="4"/>
        <v>Mar</v>
      </c>
      <c r="F69">
        <v>4</v>
      </c>
      <c r="G69" t="s">
        <v>126</v>
      </c>
      <c r="H69" t="str">
        <f>VLOOKUP(B69, Customers!A:D, 4, FALSE())</f>
        <v>Nairobi</v>
      </c>
      <c r="I69" s="9">
        <f>VLOOKUP(C69,Products!$A:$D,4,FALSE())</f>
        <v>17117</v>
      </c>
      <c r="J69" s="6">
        <f t="shared" si="5"/>
        <v>68468</v>
      </c>
    </row>
    <row r="70" spans="1:10" x14ac:dyDescent="0.35">
      <c r="A70" t="s">
        <v>258</v>
      </c>
      <c r="B70" t="s">
        <v>17</v>
      </c>
      <c r="C70" t="s">
        <v>110</v>
      </c>
      <c r="D70" s="5" t="s">
        <v>153</v>
      </c>
      <c r="E70" s="5" t="str">
        <f t="shared" si="4"/>
        <v>Apr</v>
      </c>
      <c r="F70">
        <v>4</v>
      </c>
      <c r="G70" t="s">
        <v>132</v>
      </c>
      <c r="H70" t="str">
        <f>VLOOKUP(B70, Customers!A:D, 4, FALSE())</f>
        <v>Nairobi</v>
      </c>
      <c r="I70" s="9">
        <f>VLOOKUP(C70,Products!$A:$D,4,FALSE())</f>
        <v>15361</v>
      </c>
      <c r="J70" s="6">
        <f t="shared" si="5"/>
        <v>61444</v>
      </c>
    </row>
    <row r="71" spans="1:10" x14ac:dyDescent="0.35">
      <c r="A71" t="s">
        <v>259</v>
      </c>
      <c r="B71" t="s">
        <v>44</v>
      </c>
      <c r="C71" t="s">
        <v>96</v>
      </c>
      <c r="D71" s="5" t="s">
        <v>260</v>
      </c>
      <c r="E71" s="5" t="str">
        <f t="shared" si="4"/>
        <v>Mar</v>
      </c>
      <c r="F71">
        <v>2</v>
      </c>
      <c r="G71" t="s">
        <v>129</v>
      </c>
      <c r="H71" t="str">
        <f>VLOOKUP(B71, Customers!A:D, 4, FALSE())</f>
        <v>Mombasa</v>
      </c>
      <c r="I71" s="9">
        <f>VLOOKUP(C71,Products!$A:$D,4,FALSE())</f>
        <v>5104</v>
      </c>
      <c r="J71" s="6">
        <f t="shared" si="5"/>
        <v>10208</v>
      </c>
    </row>
    <row r="72" spans="1:10" x14ac:dyDescent="0.35">
      <c r="A72" t="s">
        <v>261</v>
      </c>
      <c r="B72" t="s">
        <v>13</v>
      </c>
      <c r="C72" t="s">
        <v>103</v>
      </c>
      <c r="D72" s="5" t="s">
        <v>262</v>
      </c>
      <c r="E72" s="5" t="str">
        <f t="shared" si="4"/>
        <v>Oct</v>
      </c>
      <c r="F72">
        <v>3</v>
      </c>
      <c r="G72" t="s">
        <v>126</v>
      </c>
      <c r="H72" t="str">
        <f>VLOOKUP(B72, Customers!A:D, 4, FALSE())</f>
        <v>Eldoret</v>
      </c>
      <c r="I72" s="9">
        <f>VLOOKUP(C72,Products!$A:$D,4,FALSE())</f>
        <v>7552</v>
      </c>
      <c r="J72" s="6">
        <f t="shared" si="5"/>
        <v>22656</v>
      </c>
    </row>
    <row r="73" spans="1:10" x14ac:dyDescent="0.35">
      <c r="A73" t="s">
        <v>263</v>
      </c>
      <c r="B73" t="s">
        <v>41</v>
      </c>
      <c r="C73" t="s">
        <v>76</v>
      </c>
      <c r="D73" s="5" t="s">
        <v>197</v>
      </c>
      <c r="E73" s="5" t="str">
        <f t="shared" si="4"/>
        <v>Aug</v>
      </c>
      <c r="F73">
        <v>1</v>
      </c>
      <c r="G73" t="s">
        <v>132</v>
      </c>
      <c r="H73" t="str">
        <f>VLOOKUP(B73, Customers!A:D, 4, FALSE())</f>
        <v>Kisumu</v>
      </c>
      <c r="I73" s="9">
        <f>VLOOKUP(C73,Products!$A:$D,4,FALSE())</f>
        <v>19883</v>
      </c>
      <c r="J73" s="6">
        <f t="shared" si="5"/>
        <v>19883</v>
      </c>
    </row>
    <row r="74" spans="1:10" x14ac:dyDescent="0.35">
      <c r="A74" t="s">
        <v>264</v>
      </c>
      <c r="B74" t="s">
        <v>43</v>
      </c>
      <c r="C74" t="s">
        <v>82</v>
      </c>
      <c r="D74" s="5" t="s">
        <v>265</v>
      </c>
      <c r="E74" s="5" t="str">
        <f t="shared" si="4"/>
        <v>May</v>
      </c>
      <c r="F74">
        <v>5</v>
      </c>
      <c r="G74" t="s">
        <v>145</v>
      </c>
      <c r="H74" t="str">
        <f>VLOOKUP(B74, Customers!A:D, 4, FALSE())</f>
        <v>Nairobi</v>
      </c>
      <c r="I74" s="9">
        <f>VLOOKUP(C74,Products!$A:$D,4,FALSE())</f>
        <v>17614</v>
      </c>
      <c r="J74" s="6">
        <f t="shared" si="5"/>
        <v>88070</v>
      </c>
    </row>
    <row r="75" spans="1:10" x14ac:dyDescent="0.35">
      <c r="A75" t="s">
        <v>266</v>
      </c>
      <c r="B75" t="s">
        <v>59</v>
      </c>
      <c r="C75" t="s">
        <v>116</v>
      </c>
      <c r="D75" s="5" t="s">
        <v>267</v>
      </c>
      <c r="E75" s="5" t="str">
        <f t="shared" si="4"/>
        <v>Jul</v>
      </c>
      <c r="F75">
        <v>4</v>
      </c>
      <c r="G75" t="s">
        <v>132</v>
      </c>
      <c r="H75" t="str">
        <f>VLOOKUP(B75, Customers!A:D, 4, FALSE())</f>
        <v>Kisumu</v>
      </c>
      <c r="I75" s="9">
        <f>VLOOKUP(C75,Products!$A:$D,4,FALSE())</f>
        <v>8096</v>
      </c>
      <c r="J75" s="6">
        <f t="shared" si="5"/>
        <v>32384</v>
      </c>
    </row>
    <row r="76" spans="1:10" x14ac:dyDescent="0.35">
      <c r="A76" t="s">
        <v>268</v>
      </c>
      <c r="B76" t="s">
        <v>50</v>
      </c>
      <c r="C76" t="s">
        <v>82</v>
      </c>
      <c r="D76" s="5" t="s">
        <v>269</v>
      </c>
      <c r="E76" s="5" t="str">
        <f t="shared" si="4"/>
        <v>Jan</v>
      </c>
      <c r="F76">
        <v>3</v>
      </c>
      <c r="G76" t="s">
        <v>145</v>
      </c>
      <c r="H76" t="str">
        <f>VLOOKUP(B76, Customers!A:D, 4, FALSE())</f>
        <v>Nairobi</v>
      </c>
      <c r="I76" s="9">
        <f>VLOOKUP(C76,Products!$A:$D,4,FALSE())</f>
        <v>17614</v>
      </c>
      <c r="J76" s="6">
        <f t="shared" si="5"/>
        <v>52842</v>
      </c>
    </row>
    <row r="77" spans="1:10" x14ac:dyDescent="0.35">
      <c r="A77" t="s">
        <v>270</v>
      </c>
      <c r="B77" t="s">
        <v>58</v>
      </c>
      <c r="C77" t="s">
        <v>98</v>
      </c>
      <c r="D77" s="5" t="s">
        <v>271</v>
      </c>
      <c r="E77" s="5" t="str">
        <f t="shared" si="4"/>
        <v>Feb</v>
      </c>
      <c r="F77">
        <v>1</v>
      </c>
      <c r="G77" t="s">
        <v>132</v>
      </c>
      <c r="H77" t="str">
        <f>VLOOKUP(B77, Customers!A:D, 4, FALSE())</f>
        <v>Nairobi</v>
      </c>
      <c r="I77" s="9">
        <f>VLOOKUP(C77,Products!$A:$D,4,FALSE())</f>
        <v>19968</v>
      </c>
      <c r="J77" s="6">
        <f t="shared" si="5"/>
        <v>19968</v>
      </c>
    </row>
    <row r="78" spans="1:10" x14ac:dyDescent="0.35">
      <c r="A78" t="s">
        <v>272</v>
      </c>
      <c r="B78" t="s">
        <v>36</v>
      </c>
      <c r="C78" t="s">
        <v>82</v>
      </c>
      <c r="D78" s="5" t="s">
        <v>273</v>
      </c>
      <c r="E78" s="5" t="str">
        <f t="shared" si="4"/>
        <v>Apr</v>
      </c>
      <c r="F78">
        <v>3</v>
      </c>
      <c r="G78" t="s">
        <v>132</v>
      </c>
      <c r="H78" t="str">
        <f>VLOOKUP(B78, Customers!A:D, 4, FALSE())</f>
        <v>Mombasa</v>
      </c>
      <c r="I78" s="9">
        <f>VLOOKUP(C78,Products!$A:$D,4,FALSE())</f>
        <v>17614</v>
      </c>
      <c r="J78" s="6">
        <f t="shared" si="5"/>
        <v>52842</v>
      </c>
    </row>
    <row r="79" spans="1:10" x14ac:dyDescent="0.35">
      <c r="A79" t="s">
        <v>274</v>
      </c>
      <c r="B79" t="s">
        <v>62</v>
      </c>
      <c r="C79" t="s">
        <v>105</v>
      </c>
      <c r="D79" s="5" t="s">
        <v>275</v>
      </c>
      <c r="E79" s="5" t="str">
        <f t="shared" si="4"/>
        <v>Jan</v>
      </c>
      <c r="F79">
        <v>2</v>
      </c>
      <c r="G79" t="s">
        <v>145</v>
      </c>
      <c r="H79" t="str">
        <f>VLOOKUP(B79, Customers!A:D, 4, FALSE())</f>
        <v>Nakuru</v>
      </c>
      <c r="I79" s="9">
        <f>VLOOKUP(C79,Products!$A:$D,4,FALSE())</f>
        <v>4746</v>
      </c>
      <c r="J79" s="6">
        <f t="shared" si="5"/>
        <v>9492</v>
      </c>
    </row>
    <row r="80" spans="1:10" x14ac:dyDescent="0.35">
      <c r="A80" t="s">
        <v>276</v>
      </c>
      <c r="B80" t="s">
        <v>19</v>
      </c>
      <c r="C80" t="s">
        <v>82</v>
      </c>
      <c r="D80" s="5" t="s">
        <v>277</v>
      </c>
      <c r="E80" s="5" t="str">
        <f t="shared" si="4"/>
        <v>Oct</v>
      </c>
      <c r="F80">
        <v>3</v>
      </c>
      <c r="G80" t="s">
        <v>145</v>
      </c>
      <c r="H80" t="str">
        <f>VLOOKUP(B80, Customers!A:D, 4, FALSE())</f>
        <v>Kisumu</v>
      </c>
      <c r="I80" s="9">
        <f>VLOOKUP(C80,Products!$A:$D,4,FALSE())</f>
        <v>17614</v>
      </c>
      <c r="J80" s="6">
        <f t="shared" si="5"/>
        <v>52842</v>
      </c>
    </row>
    <row r="81" spans="1:10" x14ac:dyDescent="0.35">
      <c r="A81" t="s">
        <v>278</v>
      </c>
      <c r="B81" t="s">
        <v>68</v>
      </c>
      <c r="C81" t="s">
        <v>96</v>
      </c>
      <c r="D81" s="5" t="s">
        <v>279</v>
      </c>
      <c r="E81" s="5" t="str">
        <f t="shared" si="4"/>
        <v>Aug</v>
      </c>
      <c r="F81">
        <v>3</v>
      </c>
      <c r="G81" t="s">
        <v>145</v>
      </c>
      <c r="H81" t="str">
        <f>VLOOKUP(B81, Customers!A:D, 4, FALSE())</f>
        <v>Nairobi</v>
      </c>
      <c r="I81" s="9">
        <f>VLOOKUP(C81,Products!$A:$D,4,FALSE())</f>
        <v>5104</v>
      </c>
      <c r="J81" s="6">
        <f t="shared" si="5"/>
        <v>15312</v>
      </c>
    </row>
    <row r="82" spans="1:10" x14ac:dyDescent="0.35">
      <c r="A82" t="s">
        <v>280</v>
      </c>
      <c r="B82" t="s">
        <v>13</v>
      </c>
      <c r="C82" t="s">
        <v>94</v>
      </c>
      <c r="D82" s="5" t="s">
        <v>281</v>
      </c>
      <c r="E82" s="5" t="str">
        <f t="shared" si="4"/>
        <v>Mar</v>
      </c>
      <c r="F82">
        <v>3</v>
      </c>
      <c r="G82" t="s">
        <v>129</v>
      </c>
      <c r="H82" t="str">
        <f>VLOOKUP(B82, Customers!A:D, 4, FALSE())</f>
        <v>Eldoret</v>
      </c>
      <c r="I82" s="9">
        <f>VLOOKUP(C82,Products!$A:$D,4,FALSE())</f>
        <v>18012</v>
      </c>
      <c r="J82" s="6">
        <f t="shared" si="5"/>
        <v>54036</v>
      </c>
    </row>
    <row r="83" spans="1:10" x14ac:dyDescent="0.35">
      <c r="A83" t="s">
        <v>282</v>
      </c>
      <c r="B83" t="s">
        <v>47</v>
      </c>
      <c r="C83" t="s">
        <v>82</v>
      </c>
      <c r="D83" s="5" t="s">
        <v>283</v>
      </c>
      <c r="E83" s="5" t="str">
        <f t="shared" si="4"/>
        <v>Jan</v>
      </c>
      <c r="F83">
        <v>3</v>
      </c>
      <c r="G83" t="s">
        <v>126</v>
      </c>
      <c r="H83" t="str">
        <f>VLOOKUP(B83, Customers!A:D, 4, FALSE())</f>
        <v>Nairobi</v>
      </c>
      <c r="I83" s="9">
        <f>VLOOKUP(C83,Products!$A:$D,4,FALSE())</f>
        <v>17614</v>
      </c>
      <c r="J83" s="6">
        <f t="shared" si="5"/>
        <v>52842</v>
      </c>
    </row>
    <row r="84" spans="1:10" x14ac:dyDescent="0.35">
      <c r="A84" t="s">
        <v>284</v>
      </c>
      <c r="B84" t="s">
        <v>58</v>
      </c>
      <c r="C84" t="s">
        <v>98</v>
      </c>
      <c r="D84" s="5" t="s">
        <v>153</v>
      </c>
      <c r="E84" s="5" t="str">
        <f t="shared" si="4"/>
        <v>Apr</v>
      </c>
      <c r="F84">
        <v>4</v>
      </c>
      <c r="G84" t="s">
        <v>126</v>
      </c>
      <c r="H84" t="str">
        <f>VLOOKUP(B84, Customers!A:D, 4, FALSE())</f>
        <v>Nairobi</v>
      </c>
      <c r="I84" s="9">
        <f>VLOOKUP(C84,Products!$A:$D,4,FALSE())</f>
        <v>19968</v>
      </c>
      <c r="J84" s="6">
        <f t="shared" si="5"/>
        <v>79872</v>
      </c>
    </row>
    <row r="85" spans="1:10" x14ac:dyDescent="0.35">
      <c r="A85" t="s">
        <v>285</v>
      </c>
      <c r="B85" t="s">
        <v>44</v>
      </c>
      <c r="C85" t="s">
        <v>98</v>
      </c>
      <c r="D85" s="5" t="s">
        <v>191</v>
      </c>
      <c r="E85" s="5" t="str">
        <f t="shared" si="4"/>
        <v>Jan</v>
      </c>
      <c r="F85">
        <v>1</v>
      </c>
      <c r="G85" t="s">
        <v>145</v>
      </c>
      <c r="H85" t="str">
        <f>VLOOKUP(B85, Customers!A:D, 4, FALSE())</f>
        <v>Mombasa</v>
      </c>
      <c r="I85" s="9">
        <f>VLOOKUP(C85,Products!$A:$D,4,FALSE())</f>
        <v>19968</v>
      </c>
      <c r="J85" s="6">
        <f t="shared" si="5"/>
        <v>19968</v>
      </c>
    </row>
    <row r="86" spans="1:10" x14ac:dyDescent="0.35">
      <c r="A86" t="s">
        <v>286</v>
      </c>
      <c r="B86" t="s">
        <v>17</v>
      </c>
      <c r="C86" t="s">
        <v>98</v>
      </c>
      <c r="D86" s="5" t="s">
        <v>287</v>
      </c>
      <c r="E86" s="5" t="str">
        <f t="shared" si="4"/>
        <v>Nov</v>
      </c>
      <c r="F86">
        <v>4</v>
      </c>
      <c r="G86" t="s">
        <v>129</v>
      </c>
      <c r="H86" t="str">
        <f>VLOOKUP(B86, Customers!A:D, 4, FALSE())</f>
        <v>Nairobi</v>
      </c>
      <c r="I86" s="9">
        <f>VLOOKUP(C86,Products!$A:$D,4,FALSE())</f>
        <v>19968</v>
      </c>
      <c r="J86" s="6">
        <f t="shared" si="5"/>
        <v>79872</v>
      </c>
    </row>
    <row r="87" spans="1:10" x14ac:dyDescent="0.35">
      <c r="A87" t="s">
        <v>288</v>
      </c>
      <c r="B87" t="s">
        <v>14</v>
      </c>
      <c r="C87" t="s">
        <v>83</v>
      </c>
      <c r="D87" s="5" t="s">
        <v>289</v>
      </c>
      <c r="E87" s="5" t="str">
        <f t="shared" si="4"/>
        <v>Nov</v>
      </c>
      <c r="F87">
        <v>2</v>
      </c>
      <c r="G87" t="s">
        <v>129</v>
      </c>
      <c r="H87" t="str">
        <f>VLOOKUP(B87, Customers!A:D, 4, FALSE())</f>
        <v>Kisumu</v>
      </c>
      <c r="I87" s="9">
        <f>VLOOKUP(C87,Products!$A:$D,4,FALSE())</f>
        <v>8875</v>
      </c>
      <c r="J87" s="6">
        <f t="shared" si="5"/>
        <v>17750</v>
      </c>
    </row>
    <row r="88" spans="1:10" x14ac:dyDescent="0.35">
      <c r="A88" t="s">
        <v>290</v>
      </c>
      <c r="B88" t="s">
        <v>41</v>
      </c>
      <c r="C88" t="s">
        <v>79</v>
      </c>
      <c r="D88" s="5" t="s">
        <v>147</v>
      </c>
      <c r="E88" s="5" t="str">
        <f t="shared" si="4"/>
        <v>Jan</v>
      </c>
      <c r="F88">
        <v>1</v>
      </c>
      <c r="G88" t="s">
        <v>126</v>
      </c>
      <c r="H88" t="str">
        <f>VLOOKUP(B88, Customers!A:D, 4, FALSE())</f>
        <v>Kisumu</v>
      </c>
      <c r="I88" s="9">
        <f>VLOOKUP(C88,Products!$A:$D,4,FALSE())</f>
        <v>6948</v>
      </c>
      <c r="J88" s="6">
        <f t="shared" si="5"/>
        <v>6948</v>
      </c>
    </row>
    <row r="89" spans="1:10" x14ac:dyDescent="0.35">
      <c r="A89" t="s">
        <v>291</v>
      </c>
      <c r="B89" t="s">
        <v>60</v>
      </c>
      <c r="C89" t="s">
        <v>117</v>
      </c>
      <c r="D89" s="5" t="s">
        <v>283</v>
      </c>
      <c r="E89" s="5" t="str">
        <f t="shared" si="4"/>
        <v>Jan</v>
      </c>
      <c r="F89">
        <v>5</v>
      </c>
      <c r="G89" t="s">
        <v>126</v>
      </c>
      <c r="H89" t="str">
        <f>VLOOKUP(B89, Customers!A:D, 4, FALSE())</f>
        <v>Mombasa</v>
      </c>
      <c r="I89" s="9">
        <f>VLOOKUP(C89,Products!$A:$D,4,FALSE())</f>
        <v>8706</v>
      </c>
      <c r="J89" s="6">
        <f t="shared" si="5"/>
        <v>43530</v>
      </c>
    </row>
    <row r="90" spans="1:10" x14ac:dyDescent="0.35">
      <c r="A90" t="s">
        <v>292</v>
      </c>
      <c r="B90" t="s">
        <v>61</v>
      </c>
      <c r="C90" t="s">
        <v>105</v>
      </c>
      <c r="D90" s="5" t="s">
        <v>293</v>
      </c>
      <c r="E90" s="5" t="str">
        <f t="shared" si="4"/>
        <v>Dec</v>
      </c>
      <c r="F90">
        <v>5</v>
      </c>
      <c r="G90" t="s">
        <v>126</v>
      </c>
      <c r="H90" t="str">
        <f>VLOOKUP(B90, Customers!A:D, 4, FALSE())</f>
        <v>Nairobi</v>
      </c>
      <c r="I90" s="9">
        <f>VLOOKUP(C90,Products!$A:$D,4,FALSE())</f>
        <v>4746</v>
      </c>
      <c r="J90" s="6">
        <f t="shared" si="5"/>
        <v>23730</v>
      </c>
    </row>
    <row r="91" spans="1:10" x14ac:dyDescent="0.35">
      <c r="A91" t="s">
        <v>294</v>
      </c>
      <c r="B91" t="s">
        <v>68</v>
      </c>
      <c r="C91" t="s">
        <v>100</v>
      </c>
      <c r="D91" s="5" t="s">
        <v>295</v>
      </c>
      <c r="E91" s="5" t="str">
        <f t="shared" si="4"/>
        <v>May</v>
      </c>
      <c r="F91">
        <v>1</v>
      </c>
      <c r="G91" t="s">
        <v>132</v>
      </c>
      <c r="H91" t="str">
        <f>VLOOKUP(B91, Customers!A:D, 4, FALSE())</f>
        <v>Nairobi</v>
      </c>
      <c r="I91" s="9">
        <f>VLOOKUP(C91,Products!$A:$D,4,FALSE())</f>
        <v>17117</v>
      </c>
      <c r="J91" s="6">
        <f t="shared" si="5"/>
        <v>17117</v>
      </c>
    </row>
    <row r="92" spans="1:10" x14ac:dyDescent="0.35">
      <c r="A92" t="s">
        <v>296</v>
      </c>
      <c r="B92" t="s">
        <v>61</v>
      </c>
      <c r="C92" t="s">
        <v>102</v>
      </c>
      <c r="D92" s="5" t="s">
        <v>297</v>
      </c>
      <c r="E92" s="5" t="str">
        <f t="shared" si="4"/>
        <v>Sept</v>
      </c>
      <c r="F92">
        <v>3</v>
      </c>
      <c r="G92" t="s">
        <v>126</v>
      </c>
      <c r="H92" t="str">
        <f>VLOOKUP(B92, Customers!A:D, 4, FALSE())</f>
        <v>Nairobi</v>
      </c>
      <c r="I92" s="9">
        <f>VLOOKUP(C92,Products!$A:$D,4,FALSE())</f>
        <v>3305</v>
      </c>
      <c r="J92" s="6">
        <f t="shared" si="5"/>
        <v>9915</v>
      </c>
    </row>
    <row r="93" spans="1:10" x14ac:dyDescent="0.35">
      <c r="A93" t="s">
        <v>298</v>
      </c>
      <c r="B93" t="s">
        <v>10</v>
      </c>
      <c r="C93" t="s">
        <v>85</v>
      </c>
      <c r="D93" s="5" t="s">
        <v>299</v>
      </c>
      <c r="E93" s="5" t="str">
        <f t="shared" si="4"/>
        <v>Nov</v>
      </c>
      <c r="F93">
        <v>4</v>
      </c>
      <c r="G93" t="s">
        <v>145</v>
      </c>
      <c r="H93" t="str">
        <f>VLOOKUP(B93, Customers!A:D, 4, FALSE())</f>
        <v>Nairobi</v>
      </c>
      <c r="I93" s="9">
        <f>VLOOKUP(C93,Products!$A:$D,4,FALSE())</f>
        <v>13649</v>
      </c>
      <c r="J93" s="6">
        <f t="shared" si="5"/>
        <v>54596</v>
      </c>
    </row>
    <row r="94" spans="1:10" x14ac:dyDescent="0.35">
      <c r="A94" t="s">
        <v>300</v>
      </c>
      <c r="B94" t="s">
        <v>51</v>
      </c>
      <c r="C94" t="s">
        <v>88</v>
      </c>
      <c r="D94" s="5" t="s">
        <v>301</v>
      </c>
      <c r="E94" s="5" t="str">
        <f t="shared" si="4"/>
        <v>Jan</v>
      </c>
      <c r="F94">
        <v>2</v>
      </c>
      <c r="G94" t="s">
        <v>129</v>
      </c>
      <c r="H94" t="str">
        <f>VLOOKUP(B94, Customers!A:D, 4, FALSE())</f>
        <v>Eldoret</v>
      </c>
      <c r="I94" s="9">
        <f>VLOOKUP(C94,Products!$A:$D,4,FALSE())</f>
        <v>11625</v>
      </c>
      <c r="J94" s="6">
        <f t="shared" si="5"/>
        <v>23250</v>
      </c>
    </row>
    <row r="95" spans="1:10" x14ac:dyDescent="0.35">
      <c r="A95" t="s">
        <v>302</v>
      </c>
      <c r="B95" t="s">
        <v>4</v>
      </c>
      <c r="C95" t="s">
        <v>102</v>
      </c>
      <c r="D95" s="5" t="s">
        <v>224</v>
      </c>
      <c r="E95" s="5" t="str">
        <f t="shared" si="4"/>
        <v>Aug</v>
      </c>
      <c r="F95">
        <v>3</v>
      </c>
      <c r="G95" t="s">
        <v>132</v>
      </c>
      <c r="H95" t="str">
        <f>VLOOKUP(B95, Customers!A:D, 4, FALSE())</f>
        <v>Eldoret</v>
      </c>
      <c r="I95" s="9">
        <f>VLOOKUP(C95,Products!$A:$D,4,FALSE())</f>
        <v>3305</v>
      </c>
      <c r="J95" s="6">
        <f t="shared" si="5"/>
        <v>9915</v>
      </c>
    </row>
    <row r="96" spans="1:10" x14ac:dyDescent="0.35">
      <c r="A96" t="s">
        <v>303</v>
      </c>
      <c r="B96" t="s">
        <v>50</v>
      </c>
      <c r="C96" t="s">
        <v>99</v>
      </c>
      <c r="D96" s="5" t="s">
        <v>199</v>
      </c>
      <c r="E96" s="5" t="str">
        <f t="shared" si="4"/>
        <v>Nov</v>
      </c>
      <c r="F96">
        <v>5</v>
      </c>
      <c r="G96" t="s">
        <v>126</v>
      </c>
      <c r="H96" t="str">
        <f>VLOOKUP(B96, Customers!A:D, 4, FALSE())</f>
        <v>Nairobi</v>
      </c>
      <c r="I96" s="9">
        <f>VLOOKUP(C96,Products!$A:$D,4,FALSE())</f>
        <v>8083</v>
      </c>
      <c r="J96" s="6">
        <f t="shared" si="5"/>
        <v>40415</v>
      </c>
    </row>
    <row r="97" spans="1:10" x14ac:dyDescent="0.35">
      <c r="A97" t="s">
        <v>304</v>
      </c>
      <c r="B97" t="s">
        <v>46</v>
      </c>
      <c r="C97" t="s">
        <v>93</v>
      </c>
      <c r="D97" s="5" t="s">
        <v>305</v>
      </c>
      <c r="E97" s="5" t="str">
        <f t="shared" si="4"/>
        <v>Dec</v>
      </c>
      <c r="F97">
        <v>3</v>
      </c>
      <c r="G97" t="s">
        <v>126</v>
      </c>
      <c r="H97" t="str">
        <f>VLOOKUP(B97, Customers!A:D, 4, FALSE())</f>
        <v>Mombasa</v>
      </c>
      <c r="I97" s="9">
        <f>VLOOKUP(C97,Products!$A:$D,4,FALSE())</f>
        <v>7963</v>
      </c>
      <c r="J97" s="6">
        <f t="shared" si="5"/>
        <v>23889</v>
      </c>
    </row>
    <row r="98" spans="1:10" x14ac:dyDescent="0.35">
      <c r="A98" t="s">
        <v>306</v>
      </c>
      <c r="B98" t="s">
        <v>58</v>
      </c>
      <c r="C98" t="s">
        <v>102</v>
      </c>
      <c r="D98" s="5" t="s">
        <v>307</v>
      </c>
      <c r="E98" s="5" t="str">
        <f>TEXT(D98,"mmm")</f>
        <v>May</v>
      </c>
      <c r="F98">
        <v>2</v>
      </c>
      <c r="G98" t="s">
        <v>145</v>
      </c>
      <c r="H98" t="str">
        <f>VLOOKUP(B98, Customers!A:D, 4, FALSE())</f>
        <v>Nairobi</v>
      </c>
      <c r="I98" s="9">
        <f>VLOOKUP(C98,Products!$A:$D,4,FALSE())</f>
        <v>3305</v>
      </c>
      <c r="J98" s="6">
        <f>I98*F98</f>
        <v>6610</v>
      </c>
    </row>
    <row r="99" spans="1:10" x14ac:dyDescent="0.35">
      <c r="A99" t="s">
        <v>308</v>
      </c>
      <c r="B99" t="s">
        <v>55</v>
      </c>
      <c r="C99" t="s">
        <v>109</v>
      </c>
      <c r="D99" s="5" t="s">
        <v>309</v>
      </c>
      <c r="E99" s="5" t="str">
        <f>TEXT(D99,"mmm")</f>
        <v>Jul</v>
      </c>
      <c r="F99">
        <v>5</v>
      </c>
      <c r="G99" t="s">
        <v>145</v>
      </c>
      <c r="H99" t="str">
        <f>VLOOKUP(B99, Customers!A:D, 4, FALSE())</f>
        <v>Kisumu</v>
      </c>
      <c r="I99" s="9">
        <f>VLOOKUP(C99,Products!$A:$D,4,FALSE())</f>
        <v>16347</v>
      </c>
      <c r="J99" s="6">
        <f>I99*F99</f>
        <v>81735</v>
      </c>
    </row>
    <row r="100" spans="1:10" x14ac:dyDescent="0.35">
      <c r="A100" t="s">
        <v>310</v>
      </c>
      <c r="B100" t="s">
        <v>47</v>
      </c>
      <c r="C100" t="s">
        <v>111</v>
      </c>
      <c r="D100" s="5" t="s">
        <v>138</v>
      </c>
      <c r="E100" s="5" t="str">
        <f>TEXT(D100,"mmm")</f>
        <v>Jan</v>
      </c>
      <c r="F100">
        <v>2</v>
      </c>
      <c r="G100" t="s">
        <v>126</v>
      </c>
      <c r="H100" t="str">
        <f>VLOOKUP(B100, Customers!A:D, 4, FALSE())</f>
        <v>Nairobi</v>
      </c>
      <c r="I100" s="9">
        <f>VLOOKUP(C100,Products!$A:$D,4,FALSE())</f>
        <v>12097</v>
      </c>
      <c r="J100" s="6">
        <f>I100*F100</f>
        <v>24194</v>
      </c>
    </row>
    <row r="101" spans="1:10" x14ac:dyDescent="0.35">
      <c r="A101" t="s">
        <v>311</v>
      </c>
      <c r="B101" t="s">
        <v>49</v>
      </c>
      <c r="C101" t="s">
        <v>91</v>
      </c>
      <c r="D101" s="5" t="s">
        <v>131</v>
      </c>
      <c r="E101" s="5" t="str">
        <f>TEXT(D101,"mmm")</f>
        <v>Jun</v>
      </c>
      <c r="F101">
        <v>3</v>
      </c>
      <c r="G101" t="s">
        <v>132</v>
      </c>
      <c r="H101" t="str">
        <f>VLOOKUP(B101, Customers!A:D, 4, FALSE())</f>
        <v>Kisumu</v>
      </c>
      <c r="I101" s="9">
        <f>VLOOKUP(C101,Products!$A:$D,4,FALSE())</f>
        <v>19088</v>
      </c>
      <c r="J101" s="6">
        <f>I101*F101</f>
        <v>57264</v>
      </c>
    </row>
    <row r="102" spans="1:10" x14ac:dyDescent="0.35">
      <c r="D102" s="5"/>
    </row>
    <row r="103" spans="1:10" x14ac:dyDescent="0.35">
      <c r="D103" s="5"/>
    </row>
    <row r="104" spans="1:10" x14ac:dyDescent="0.35">
      <c r="D104" s="5"/>
    </row>
    <row r="105" spans="1:10" x14ac:dyDescent="0.35">
      <c r="D105" s="5"/>
    </row>
    <row r="106" spans="1:10" x14ac:dyDescent="0.35">
      <c r="D106" s="5"/>
    </row>
    <row r="107" spans="1:10" x14ac:dyDescent="0.35">
      <c r="D107" s="5"/>
    </row>
    <row r="108" spans="1:10" x14ac:dyDescent="0.35">
      <c r="D108" s="5"/>
    </row>
    <row r="109" spans="1:10" x14ac:dyDescent="0.35">
      <c r="D109" s="5"/>
    </row>
    <row r="110" spans="1:10" x14ac:dyDescent="0.35">
      <c r="D110" s="5"/>
    </row>
    <row r="111" spans="1:10" x14ac:dyDescent="0.35">
      <c r="D111" s="5"/>
    </row>
    <row r="112" spans="1:10" x14ac:dyDescent="0.35">
      <c r="D112" s="5"/>
    </row>
    <row r="113" spans="4:4" x14ac:dyDescent="0.35">
      <c r="D113" s="5"/>
    </row>
    <row r="114" spans="4:4" x14ac:dyDescent="0.35">
      <c r="D114" s="5"/>
    </row>
    <row r="115" spans="4:4" x14ac:dyDescent="0.35">
      <c r="D115" s="5"/>
    </row>
    <row r="116" spans="4:4" x14ac:dyDescent="0.35">
      <c r="D116" s="5"/>
    </row>
    <row r="117" spans="4:4" x14ac:dyDescent="0.35">
      <c r="D117" s="5"/>
    </row>
    <row r="118" spans="4:4" x14ac:dyDescent="0.35">
      <c r="D118" s="5"/>
    </row>
    <row r="119" spans="4:4" x14ac:dyDescent="0.35">
      <c r="D119" s="5"/>
    </row>
    <row r="120" spans="4:4" x14ac:dyDescent="0.35">
      <c r="D120" s="5"/>
    </row>
    <row r="121" spans="4:4" x14ac:dyDescent="0.35">
      <c r="D121" s="5"/>
    </row>
    <row r="122" spans="4:4" x14ac:dyDescent="0.35">
      <c r="D122" s="5"/>
    </row>
    <row r="123" spans="4:4" x14ac:dyDescent="0.35">
      <c r="D123" s="5"/>
    </row>
    <row r="124" spans="4:4" x14ac:dyDescent="0.35">
      <c r="D124" s="5"/>
    </row>
    <row r="125" spans="4:4" x14ac:dyDescent="0.35">
      <c r="D125" s="5"/>
    </row>
    <row r="126" spans="4:4" x14ac:dyDescent="0.35">
      <c r="D126" s="5"/>
    </row>
    <row r="127" spans="4:4" x14ac:dyDescent="0.35">
      <c r="D127" s="5"/>
    </row>
    <row r="128" spans="4:4" x14ac:dyDescent="0.35">
      <c r="D128" s="5"/>
    </row>
    <row r="129" spans="4:4" x14ac:dyDescent="0.35">
      <c r="D129" s="5"/>
    </row>
    <row r="130" spans="4:4" x14ac:dyDescent="0.35">
      <c r="D130" s="5"/>
    </row>
    <row r="131" spans="4:4" x14ac:dyDescent="0.35">
      <c r="D131" s="5"/>
    </row>
    <row r="132" spans="4:4" x14ac:dyDescent="0.35">
      <c r="D132" s="5"/>
    </row>
    <row r="133" spans="4:4" x14ac:dyDescent="0.35">
      <c r="D133" s="5"/>
    </row>
    <row r="134" spans="4:4" x14ac:dyDescent="0.35">
      <c r="D134" s="5"/>
    </row>
    <row r="135" spans="4:4" x14ac:dyDescent="0.35">
      <c r="D135" s="5"/>
    </row>
    <row r="136" spans="4:4" x14ac:dyDescent="0.35">
      <c r="D136" s="5"/>
    </row>
    <row r="137" spans="4:4" x14ac:dyDescent="0.35">
      <c r="D137" s="5"/>
    </row>
    <row r="138" spans="4:4" x14ac:dyDescent="0.35">
      <c r="D138" s="5"/>
    </row>
    <row r="139" spans="4:4" x14ac:dyDescent="0.35">
      <c r="D139" s="5"/>
    </row>
    <row r="140" spans="4:4" x14ac:dyDescent="0.35">
      <c r="D140" s="5"/>
    </row>
    <row r="141" spans="4:4" x14ac:dyDescent="0.35">
      <c r="D141" s="5"/>
    </row>
    <row r="142" spans="4:4" x14ac:dyDescent="0.35">
      <c r="D142" s="5"/>
    </row>
    <row r="143" spans="4:4" x14ac:dyDescent="0.35">
      <c r="D143" s="5"/>
    </row>
    <row r="144" spans="4:4" x14ac:dyDescent="0.35">
      <c r="D144" s="5"/>
    </row>
    <row r="145" spans="4:4" x14ac:dyDescent="0.35">
      <c r="D145" s="5"/>
    </row>
    <row r="146" spans="4:4" x14ac:dyDescent="0.35">
      <c r="D146" s="5"/>
    </row>
    <row r="147" spans="4:4" x14ac:dyDescent="0.35">
      <c r="D147" s="5"/>
    </row>
    <row r="148" spans="4:4" x14ac:dyDescent="0.35">
      <c r="D148" s="5"/>
    </row>
    <row r="149" spans="4:4" x14ac:dyDescent="0.35">
      <c r="D149" s="5"/>
    </row>
    <row r="150" spans="4:4" x14ac:dyDescent="0.35">
      <c r="D150" s="5"/>
    </row>
    <row r="151" spans="4:4" x14ac:dyDescent="0.35">
      <c r="D151" s="5"/>
    </row>
    <row r="152" spans="4:4" x14ac:dyDescent="0.35">
      <c r="D152" s="5"/>
    </row>
    <row r="153" spans="4:4" x14ac:dyDescent="0.35">
      <c r="D153" s="5"/>
    </row>
    <row r="154" spans="4:4" x14ac:dyDescent="0.35">
      <c r="D154" s="5"/>
    </row>
    <row r="155" spans="4:4" x14ac:dyDescent="0.35">
      <c r="D155" s="5"/>
    </row>
    <row r="156" spans="4:4" x14ac:dyDescent="0.35">
      <c r="D156" s="5"/>
    </row>
    <row r="157" spans="4:4" x14ac:dyDescent="0.35">
      <c r="D157" s="5"/>
    </row>
    <row r="158" spans="4:4" x14ac:dyDescent="0.35">
      <c r="D158" s="5"/>
    </row>
    <row r="159" spans="4:4" x14ac:dyDescent="0.35">
      <c r="D159" s="5"/>
    </row>
    <row r="160" spans="4:4" x14ac:dyDescent="0.35">
      <c r="D160" s="5"/>
    </row>
    <row r="161" spans="4:4" x14ac:dyDescent="0.35">
      <c r="D161" s="5"/>
    </row>
    <row r="162" spans="4:4" x14ac:dyDescent="0.35">
      <c r="D162" s="5"/>
    </row>
    <row r="163" spans="4:4" x14ac:dyDescent="0.35">
      <c r="D163" s="5"/>
    </row>
    <row r="164" spans="4:4" x14ac:dyDescent="0.35">
      <c r="D164" s="5"/>
    </row>
    <row r="165" spans="4:4" x14ac:dyDescent="0.35">
      <c r="D165" s="5"/>
    </row>
    <row r="166" spans="4:4" x14ac:dyDescent="0.35">
      <c r="D166" s="5"/>
    </row>
    <row r="167" spans="4:4" x14ac:dyDescent="0.35">
      <c r="D167" s="5"/>
    </row>
    <row r="168" spans="4:4" x14ac:dyDescent="0.35">
      <c r="D168" s="5"/>
    </row>
    <row r="169" spans="4:4" x14ac:dyDescent="0.35">
      <c r="D169" s="5"/>
    </row>
    <row r="170" spans="4:4" x14ac:dyDescent="0.35">
      <c r="D170" s="5"/>
    </row>
    <row r="171" spans="4:4" x14ac:dyDescent="0.35">
      <c r="D171" s="5"/>
    </row>
    <row r="172" spans="4:4" x14ac:dyDescent="0.35">
      <c r="D172" s="5"/>
    </row>
    <row r="173" spans="4:4" x14ac:dyDescent="0.35">
      <c r="D173" s="5"/>
    </row>
    <row r="174" spans="4:4" x14ac:dyDescent="0.35">
      <c r="D174" s="5"/>
    </row>
    <row r="175" spans="4:4" x14ac:dyDescent="0.35">
      <c r="D175" s="5"/>
    </row>
    <row r="176" spans="4:4" x14ac:dyDescent="0.35">
      <c r="D176" s="5"/>
    </row>
    <row r="177" spans="4:4" x14ac:dyDescent="0.35">
      <c r="D177" s="5"/>
    </row>
    <row r="178" spans="4:4" x14ac:dyDescent="0.35">
      <c r="D178" s="5"/>
    </row>
    <row r="179" spans="4:4" x14ac:dyDescent="0.35">
      <c r="D179" s="5"/>
    </row>
    <row r="180" spans="4:4" x14ac:dyDescent="0.35">
      <c r="D180" s="5"/>
    </row>
    <row r="181" spans="4:4" x14ac:dyDescent="0.35">
      <c r="D181" s="5"/>
    </row>
    <row r="182" spans="4:4" x14ac:dyDescent="0.35">
      <c r="D182" s="5"/>
    </row>
    <row r="183" spans="4:4" x14ac:dyDescent="0.35">
      <c r="D183" s="5"/>
    </row>
    <row r="184" spans="4:4" x14ac:dyDescent="0.35">
      <c r="D184" s="5"/>
    </row>
    <row r="185" spans="4:4" x14ac:dyDescent="0.35">
      <c r="D185" s="5"/>
    </row>
    <row r="186" spans="4:4" x14ac:dyDescent="0.35">
      <c r="D186" s="5"/>
    </row>
    <row r="187" spans="4:4" x14ac:dyDescent="0.35">
      <c r="D187" s="5"/>
    </row>
    <row r="188" spans="4:4" x14ac:dyDescent="0.35">
      <c r="D188" s="5"/>
    </row>
    <row r="189" spans="4:4" x14ac:dyDescent="0.35">
      <c r="D189" s="5"/>
    </row>
    <row r="190" spans="4:4" x14ac:dyDescent="0.35">
      <c r="D190" s="5"/>
    </row>
    <row r="191" spans="4:4" x14ac:dyDescent="0.35">
      <c r="D191" s="5"/>
    </row>
    <row r="192" spans="4:4" x14ac:dyDescent="0.35">
      <c r="D192" s="5"/>
    </row>
    <row r="193" spans="4:4" x14ac:dyDescent="0.35">
      <c r="D193" s="5"/>
    </row>
    <row r="194" spans="4:4" x14ac:dyDescent="0.35">
      <c r="D194" s="5"/>
    </row>
    <row r="195" spans="4:4" x14ac:dyDescent="0.35">
      <c r="D195" s="5"/>
    </row>
    <row r="196" spans="4:4" x14ac:dyDescent="0.35">
      <c r="D196" s="5"/>
    </row>
    <row r="197" spans="4:4" x14ac:dyDescent="0.35">
      <c r="D197" s="5"/>
    </row>
    <row r="198" spans="4:4" x14ac:dyDescent="0.35">
      <c r="D198" s="5"/>
    </row>
    <row r="199" spans="4:4" x14ac:dyDescent="0.35">
      <c r="D199" s="5"/>
    </row>
    <row r="200" spans="4:4" x14ac:dyDescent="0.35">
      <c r="D200" s="5"/>
    </row>
    <row r="201" spans="4:4" x14ac:dyDescent="0.35">
      <c r="D201" s="5"/>
    </row>
  </sheetData>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8"/>
  <sheetViews>
    <sheetView topLeftCell="A19" workbookViewId="0">
      <selection activeCell="M8" sqref="M8"/>
    </sheetView>
  </sheetViews>
  <sheetFormatPr defaultRowHeight="14.5" x14ac:dyDescent="0.35"/>
  <cols>
    <col min="1" max="1" width="12.36328125" customWidth="1"/>
    <col min="2" max="2" width="18.453125" customWidth="1"/>
  </cols>
  <sheetData>
    <row r="1" spans="1:2" x14ac:dyDescent="0.35">
      <c r="A1" s="10" t="s">
        <v>314</v>
      </c>
      <c r="B1" t="s">
        <v>326</v>
      </c>
    </row>
    <row r="2" spans="1:2" x14ac:dyDescent="0.35">
      <c r="A2" s="7" t="s">
        <v>315</v>
      </c>
      <c r="B2" s="11">
        <v>509580</v>
      </c>
    </row>
    <row r="3" spans="1:2" x14ac:dyDescent="0.35">
      <c r="A3" s="7" t="s">
        <v>316</v>
      </c>
      <c r="B3" s="11">
        <v>166307</v>
      </c>
    </row>
    <row r="4" spans="1:2" x14ac:dyDescent="0.35">
      <c r="A4" s="7" t="s">
        <v>312</v>
      </c>
      <c r="B4" s="11">
        <v>319770</v>
      </c>
    </row>
    <row r="5" spans="1:2" x14ac:dyDescent="0.35">
      <c r="A5" s="7" t="s">
        <v>317</v>
      </c>
      <c r="B5" s="11">
        <v>470015</v>
      </c>
    </row>
    <row r="6" spans="1:2" x14ac:dyDescent="0.35">
      <c r="A6" s="7" t="s">
        <v>318</v>
      </c>
      <c r="B6" s="11">
        <v>387405</v>
      </c>
    </row>
    <row r="7" spans="1:2" x14ac:dyDescent="0.35">
      <c r="A7" s="7" t="s">
        <v>319</v>
      </c>
      <c r="B7" s="11">
        <v>620237</v>
      </c>
    </row>
    <row r="8" spans="1:2" x14ac:dyDescent="0.35">
      <c r="A8" s="7" t="s">
        <v>313</v>
      </c>
      <c r="B8" s="11">
        <v>214014</v>
      </c>
    </row>
    <row r="9" spans="1:2" x14ac:dyDescent="0.35">
      <c r="A9" s="7" t="s">
        <v>320</v>
      </c>
      <c r="B9" s="11">
        <v>411743</v>
      </c>
    </row>
    <row r="10" spans="1:2" x14ac:dyDescent="0.35">
      <c r="A10" s="7" t="s">
        <v>321</v>
      </c>
      <c r="B10" s="11">
        <v>84698</v>
      </c>
    </row>
    <row r="11" spans="1:2" x14ac:dyDescent="0.35">
      <c r="A11" s="7" t="s">
        <v>322</v>
      </c>
      <c r="B11" s="11">
        <v>232181</v>
      </c>
    </row>
    <row r="12" spans="1:2" x14ac:dyDescent="0.35">
      <c r="A12" s="7" t="s">
        <v>323</v>
      </c>
      <c r="B12" s="11">
        <v>274414</v>
      </c>
    </row>
    <row r="13" spans="1:2" x14ac:dyDescent="0.35">
      <c r="A13" s="7" t="s">
        <v>324</v>
      </c>
      <c r="B13" s="11">
        <v>80313</v>
      </c>
    </row>
    <row r="14" spans="1:2" x14ac:dyDescent="0.35">
      <c r="A14" s="7" t="s">
        <v>325</v>
      </c>
      <c r="B14" s="11">
        <v>3770677</v>
      </c>
    </row>
    <row r="20" spans="1:2" x14ac:dyDescent="0.35">
      <c r="A20" s="10" t="s">
        <v>314</v>
      </c>
      <c r="B20" t="s">
        <v>326</v>
      </c>
    </row>
    <row r="21" spans="1:2" x14ac:dyDescent="0.35">
      <c r="A21" s="7" t="s">
        <v>129</v>
      </c>
      <c r="B21" s="11">
        <v>652276</v>
      </c>
    </row>
    <row r="22" spans="1:2" x14ac:dyDescent="0.35">
      <c r="A22" s="7" t="s">
        <v>145</v>
      </c>
      <c r="B22" s="11">
        <v>1114621</v>
      </c>
    </row>
    <row r="23" spans="1:2" x14ac:dyDescent="0.35">
      <c r="A23" s="7" t="s">
        <v>126</v>
      </c>
      <c r="B23" s="11">
        <v>893559</v>
      </c>
    </row>
    <row r="24" spans="1:2" x14ac:dyDescent="0.35">
      <c r="A24" s="7" t="s">
        <v>132</v>
      </c>
      <c r="B24" s="11">
        <v>1110221</v>
      </c>
    </row>
    <row r="25" spans="1:2" x14ac:dyDescent="0.35">
      <c r="A25" s="7" t="s">
        <v>325</v>
      </c>
      <c r="B25" s="11">
        <v>3770677</v>
      </c>
    </row>
    <row r="35" spans="1:2" x14ac:dyDescent="0.35">
      <c r="A35" s="10" t="s">
        <v>314</v>
      </c>
      <c r="B35" t="s">
        <v>326</v>
      </c>
    </row>
    <row r="36" spans="1:2" x14ac:dyDescent="0.35">
      <c r="A36" s="7" t="s">
        <v>6</v>
      </c>
      <c r="B36" s="11">
        <v>426138</v>
      </c>
    </row>
    <row r="37" spans="1:2" x14ac:dyDescent="0.35">
      <c r="A37" s="7" t="s">
        <v>16</v>
      </c>
      <c r="B37" s="11">
        <v>784454</v>
      </c>
    </row>
    <row r="38" spans="1:2" x14ac:dyDescent="0.35">
      <c r="A38" s="7" t="s">
        <v>30</v>
      </c>
      <c r="B38" s="11">
        <v>737090</v>
      </c>
    </row>
    <row r="39" spans="1:2" x14ac:dyDescent="0.35">
      <c r="A39" s="7" t="s">
        <v>12</v>
      </c>
      <c r="B39" s="11">
        <v>1234995</v>
      </c>
    </row>
    <row r="40" spans="1:2" x14ac:dyDescent="0.35">
      <c r="A40" s="7" t="s">
        <v>9</v>
      </c>
      <c r="B40" s="11">
        <v>588000</v>
      </c>
    </row>
    <row r="41" spans="1:2" x14ac:dyDescent="0.35">
      <c r="A41" s="7" t="s">
        <v>325</v>
      </c>
      <c r="B41" s="11">
        <v>3770677</v>
      </c>
    </row>
    <row r="50" spans="1:2" x14ac:dyDescent="0.35">
      <c r="A50" s="10" t="s">
        <v>314</v>
      </c>
      <c r="B50" t="s">
        <v>326</v>
      </c>
    </row>
    <row r="51" spans="1:2" x14ac:dyDescent="0.35">
      <c r="A51" s="7" t="s">
        <v>73</v>
      </c>
      <c r="B51" s="11">
        <v>1780</v>
      </c>
    </row>
    <row r="52" spans="1:2" x14ac:dyDescent="0.35">
      <c r="A52" s="7" t="s">
        <v>76</v>
      </c>
      <c r="B52" s="11">
        <v>119298</v>
      </c>
    </row>
    <row r="53" spans="1:2" x14ac:dyDescent="0.35">
      <c r="A53" s="7" t="s">
        <v>79</v>
      </c>
      <c r="B53" s="11">
        <v>34740</v>
      </c>
    </row>
    <row r="54" spans="1:2" x14ac:dyDescent="0.35">
      <c r="A54" s="7" t="s">
        <v>82</v>
      </c>
      <c r="B54" s="11">
        <v>457964</v>
      </c>
    </row>
    <row r="55" spans="1:2" x14ac:dyDescent="0.35">
      <c r="A55" s="7" t="s">
        <v>83</v>
      </c>
      <c r="B55" s="11">
        <v>124250</v>
      </c>
    </row>
    <row r="56" spans="1:2" x14ac:dyDescent="0.35">
      <c r="A56" s="7" t="s">
        <v>85</v>
      </c>
      <c r="B56" s="11">
        <v>95543</v>
      </c>
    </row>
    <row r="57" spans="1:2" x14ac:dyDescent="0.35">
      <c r="A57" s="7" t="s">
        <v>88</v>
      </c>
      <c r="B57" s="11">
        <v>127875</v>
      </c>
    </row>
    <row r="58" spans="1:2" x14ac:dyDescent="0.35">
      <c r="A58" s="7" t="s">
        <v>91</v>
      </c>
      <c r="B58" s="11">
        <v>343584</v>
      </c>
    </row>
    <row r="59" spans="1:2" x14ac:dyDescent="0.35">
      <c r="A59" s="7" t="s">
        <v>93</v>
      </c>
      <c r="B59" s="11">
        <v>31852</v>
      </c>
    </row>
    <row r="60" spans="1:2" x14ac:dyDescent="0.35">
      <c r="A60" s="7" t="s">
        <v>94</v>
      </c>
      <c r="B60" s="11">
        <v>180120</v>
      </c>
    </row>
    <row r="61" spans="1:2" x14ac:dyDescent="0.35">
      <c r="A61" s="7" t="s">
        <v>96</v>
      </c>
      <c r="B61" s="11">
        <v>45936</v>
      </c>
    </row>
    <row r="62" spans="1:2" x14ac:dyDescent="0.35">
      <c r="A62" s="7" t="s">
        <v>97</v>
      </c>
      <c r="B62" s="11">
        <v>177795</v>
      </c>
    </row>
    <row r="63" spans="1:2" x14ac:dyDescent="0.35">
      <c r="A63" s="7" t="s">
        <v>98</v>
      </c>
      <c r="B63" s="11">
        <v>459264</v>
      </c>
    </row>
    <row r="64" spans="1:2" x14ac:dyDescent="0.35">
      <c r="A64" s="7" t="s">
        <v>99</v>
      </c>
      <c r="B64" s="11">
        <v>129328</v>
      </c>
    </row>
    <row r="65" spans="1:2" x14ac:dyDescent="0.35">
      <c r="A65" s="7" t="s">
        <v>100</v>
      </c>
      <c r="B65" s="11">
        <v>85585</v>
      </c>
    </row>
    <row r="66" spans="1:2" x14ac:dyDescent="0.35">
      <c r="A66" s="7" t="s">
        <v>102</v>
      </c>
      <c r="B66" s="11">
        <v>33050</v>
      </c>
    </row>
    <row r="67" spans="1:2" x14ac:dyDescent="0.35">
      <c r="A67" s="7" t="s">
        <v>103</v>
      </c>
      <c r="B67" s="11">
        <v>90624</v>
      </c>
    </row>
    <row r="68" spans="1:2" x14ac:dyDescent="0.35">
      <c r="A68" s="7" t="s">
        <v>105</v>
      </c>
      <c r="B68" s="11">
        <v>61698</v>
      </c>
    </row>
    <row r="69" spans="1:2" x14ac:dyDescent="0.35">
      <c r="A69" s="7" t="s">
        <v>106</v>
      </c>
      <c r="B69" s="11">
        <v>79878</v>
      </c>
    </row>
    <row r="70" spans="1:2" x14ac:dyDescent="0.35">
      <c r="A70" s="7" t="s">
        <v>109</v>
      </c>
      <c r="B70" s="11">
        <v>245205</v>
      </c>
    </row>
    <row r="71" spans="1:2" x14ac:dyDescent="0.35">
      <c r="A71" s="7" t="s">
        <v>110</v>
      </c>
      <c r="B71" s="11">
        <v>245776</v>
      </c>
    </row>
    <row r="72" spans="1:2" x14ac:dyDescent="0.35">
      <c r="A72" s="7" t="s">
        <v>111</v>
      </c>
      <c r="B72" s="11">
        <v>60485</v>
      </c>
    </row>
    <row r="73" spans="1:2" x14ac:dyDescent="0.35">
      <c r="A73" s="7" t="s">
        <v>112</v>
      </c>
      <c r="B73" s="11">
        <v>149974</v>
      </c>
    </row>
    <row r="74" spans="1:2" x14ac:dyDescent="0.35">
      <c r="A74" s="7" t="s">
        <v>113</v>
      </c>
      <c r="B74" s="11">
        <v>71748</v>
      </c>
    </row>
    <row r="75" spans="1:2" x14ac:dyDescent="0.35">
      <c r="A75" s="7" t="s">
        <v>114</v>
      </c>
      <c r="B75" s="11">
        <v>36127</v>
      </c>
    </row>
    <row r="76" spans="1:2" x14ac:dyDescent="0.35">
      <c r="A76" s="7" t="s">
        <v>116</v>
      </c>
      <c r="B76" s="11">
        <v>80960</v>
      </c>
    </row>
    <row r="77" spans="1:2" x14ac:dyDescent="0.35">
      <c r="A77" s="7" t="s">
        <v>117</v>
      </c>
      <c r="B77" s="11">
        <v>200238</v>
      </c>
    </row>
    <row r="78" spans="1:2" x14ac:dyDescent="0.35">
      <c r="A78" s="7" t="s">
        <v>325</v>
      </c>
      <c r="B78" s="11">
        <v>3770677</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7"/>
  <sheetViews>
    <sheetView tabSelected="1" zoomScale="99" zoomScaleNormal="99" workbookViewId="0">
      <selection activeCell="D8" sqref="D8"/>
    </sheetView>
  </sheetViews>
  <sheetFormatPr defaultRowHeight="14.5" x14ac:dyDescent="0.35"/>
  <cols>
    <col min="1" max="1" width="18.08984375" customWidth="1"/>
    <col min="2" max="2" width="17.36328125" customWidth="1"/>
    <col min="3" max="3" width="19.1796875" customWidth="1"/>
    <col min="4" max="4" width="11.36328125" customWidth="1"/>
    <col min="5" max="5" width="19" customWidth="1"/>
    <col min="6" max="6" width="22" customWidth="1"/>
    <col min="7" max="7" width="65" customWidth="1"/>
    <col min="11" max="11" width="34.81640625" customWidth="1"/>
  </cols>
  <sheetData>
    <row r="1" spans="1:35" ht="30.5" x14ac:dyDescent="0.65">
      <c r="A1" s="15" t="s">
        <v>327</v>
      </c>
      <c r="B1" s="15"/>
      <c r="C1" s="15"/>
      <c r="D1" s="15"/>
      <c r="E1" s="15"/>
      <c r="F1" s="15"/>
      <c r="G1" s="15"/>
      <c r="H1" s="15"/>
      <c r="I1" s="15"/>
      <c r="J1" s="15"/>
      <c r="K1" s="15"/>
      <c r="L1" s="12"/>
      <c r="M1" s="12"/>
      <c r="N1" s="12"/>
      <c r="O1" s="12"/>
      <c r="P1" s="12"/>
      <c r="Q1" s="12"/>
      <c r="R1" s="12"/>
      <c r="S1" s="12"/>
      <c r="T1" s="12"/>
      <c r="U1" s="12"/>
      <c r="V1" s="12"/>
      <c r="W1" s="12"/>
      <c r="X1" s="12"/>
      <c r="Y1" s="12"/>
      <c r="Z1" s="12"/>
      <c r="AA1" s="12"/>
      <c r="AB1" s="12"/>
      <c r="AC1" s="12"/>
      <c r="AD1" s="12"/>
      <c r="AE1" s="12"/>
      <c r="AF1" s="12"/>
      <c r="AG1" s="12"/>
      <c r="AH1" s="12"/>
      <c r="AI1" s="12"/>
    </row>
    <row r="2" spans="1:35" ht="21" x14ac:dyDescent="0.5">
      <c r="A2" s="16"/>
      <c r="B2" s="16"/>
      <c r="C2" s="16"/>
      <c r="D2" s="13"/>
      <c r="E2" s="13"/>
      <c r="F2" s="19" t="s">
        <v>332</v>
      </c>
      <c r="G2" s="17"/>
      <c r="H2" s="13"/>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row>
    <row r="3" spans="1:35" ht="28" x14ac:dyDescent="0.5">
      <c r="A3" s="16" t="s">
        <v>331</v>
      </c>
      <c r="B3" s="16"/>
      <c r="C3" s="16"/>
      <c r="D3" s="13"/>
      <c r="E3" s="13"/>
      <c r="F3" s="20" t="s">
        <v>336</v>
      </c>
      <c r="G3" s="21" t="s">
        <v>333</v>
      </c>
      <c r="H3" s="13"/>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row>
    <row r="4" spans="1:35" ht="23" x14ac:dyDescent="0.5">
      <c r="A4" s="13" t="s">
        <v>328</v>
      </c>
      <c r="B4" s="13" t="s">
        <v>329</v>
      </c>
      <c r="C4" s="13" t="s">
        <v>330</v>
      </c>
      <c r="D4" s="14" t="s">
        <v>335</v>
      </c>
      <c r="E4" s="12"/>
      <c r="F4" s="20" t="s">
        <v>337</v>
      </c>
      <c r="G4" s="21" t="s">
        <v>345</v>
      </c>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row>
    <row r="5" spans="1:35" ht="28" x14ac:dyDescent="0.5">
      <c r="A5" s="13">
        <f>SUM(orders!J:J)</f>
        <v>3770677</v>
      </c>
      <c r="B5" s="13">
        <f>COUNTA(orders!A:A)-1</f>
        <v>100</v>
      </c>
      <c r="C5" s="13">
        <f>COUNTA(Products!A:A)-1</f>
        <v>30</v>
      </c>
      <c r="D5" s="18" t="str">
        <f>INDEX('pivot table'!A2:A13,MATCH(MAX('pivot table'!B2:B13),'pivot table'!B2:B13,0))</f>
        <v>Jun</v>
      </c>
      <c r="E5" s="12"/>
      <c r="F5" s="20" t="s">
        <v>338</v>
      </c>
      <c r="G5" s="21" t="s">
        <v>344</v>
      </c>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row>
    <row r="6" spans="1:35" ht="28" x14ac:dyDescent="0.35">
      <c r="A6" s="12"/>
      <c r="B6" s="12"/>
      <c r="C6" s="12"/>
      <c r="D6" s="12"/>
      <c r="E6" s="12"/>
      <c r="F6" s="20" t="s">
        <v>339</v>
      </c>
      <c r="G6" s="21" t="s">
        <v>343</v>
      </c>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row>
    <row r="7" spans="1:35" ht="28" x14ac:dyDescent="0.35">
      <c r="A7" s="12"/>
      <c r="B7" s="12"/>
      <c r="C7" s="12"/>
      <c r="D7" s="12"/>
      <c r="E7" s="12"/>
      <c r="F7" s="20" t="s">
        <v>340</v>
      </c>
      <c r="G7" s="21" t="s">
        <v>334</v>
      </c>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row>
    <row r="8" spans="1:35" x14ac:dyDescent="0.35">
      <c r="A8" s="12"/>
      <c r="B8" s="12"/>
      <c r="C8" s="12"/>
      <c r="D8" s="12"/>
      <c r="E8" s="12"/>
      <c r="F8" s="20" t="s">
        <v>341</v>
      </c>
      <c r="G8" s="21" t="s">
        <v>342</v>
      </c>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row>
    <row r="9" spans="1:35"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row>
    <row r="10" spans="1:35"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row>
    <row r="11" spans="1:35"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row>
    <row r="12" spans="1:35"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row>
    <row r="13" spans="1:35"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row>
    <row r="14" spans="1:35"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row>
    <row r="15" spans="1:35"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row>
    <row r="16" spans="1:35"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row>
    <row r="17" spans="1:35"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row>
    <row r="18" spans="1:35"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row>
    <row r="19" spans="1:35"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row>
    <row r="20" spans="1:35"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row>
    <row r="21" spans="1:35"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row>
    <row r="22" spans="1:35"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row>
    <row r="23" spans="1:35"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row>
    <row r="24" spans="1:35"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row>
    <row r="25" spans="1:35"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row>
    <row r="26" spans="1:35"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row>
    <row r="27" spans="1:35"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row>
    <row r="28" spans="1:35"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row>
    <row r="29" spans="1:35"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row>
    <row r="30" spans="1:35"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row>
    <row r="31" spans="1:35"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row>
    <row r="32" spans="1:35"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row>
    <row r="33" spans="1:35"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row>
    <row r="34" spans="1:35"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row>
    <row r="35" spans="1:35"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row>
    <row r="36" spans="1:35"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row>
    <row r="37" spans="1:35"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row>
    <row r="38" spans="1:35"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row>
    <row r="39" spans="1:35"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row>
    <row r="40" spans="1:35"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row>
    <row r="41" spans="1:35"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row>
    <row r="43" spans="1:35"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row>
    <row r="44" spans="1:35"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row>
    <row r="45" spans="1:35"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row>
    <row r="46" spans="1:35"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row>
    <row r="47" spans="1:35"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row>
    <row r="48" spans="1:35"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row>
    <row r="49" spans="1:35"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row>
    <row r="50" spans="1:35"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row>
    <row r="51" spans="1:35"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row>
    <row r="52" spans="1:35"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row>
    <row r="53" spans="1:35"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row>
    <row r="54" spans="1:35"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row>
    <row r="55" spans="1:35"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row>
    <row r="56" spans="1:35"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row>
    <row r="57" spans="1:35"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row>
    <row r="58" spans="1:35"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row>
    <row r="59" spans="1:35"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row>
    <row r="60" spans="1:35"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row>
    <row r="61" spans="1:35"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row>
    <row r="62" spans="1:35"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row>
    <row r="63" spans="1:35"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row>
    <row r="64" spans="1:35"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row>
    <row r="65" spans="1:35"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row>
    <row r="66" spans="1:35"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row>
    <row r="67" spans="1:35"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row>
    <row r="68" spans="1:35"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row>
    <row r="69" spans="1:35"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row>
    <row r="70" spans="1:35"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row>
    <row r="71" spans="1:35"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row>
    <row r="72" spans="1:35"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row>
    <row r="73" spans="1:35"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row>
    <row r="74" spans="1:35"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row>
    <row r="75" spans="1:35"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row>
    <row r="76" spans="1:35"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row>
    <row r="77" spans="1:35"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row>
    <row r="78" spans="1:35"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row>
    <row r="79" spans="1:35"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row>
    <row r="80" spans="1:35" x14ac:dyDescent="0.3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row>
    <row r="81" spans="1:35" x14ac:dyDescent="0.3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row>
    <row r="82" spans="1:35" x14ac:dyDescent="0.3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row>
    <row r="83" spans="1:35" x14ac:dyDescent="0.3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row>
    <row r="84" spans="1:35" x14ac:dyDescent="0.3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row>
    <row r="85" spans="1:35" x14ac:dyDescent="0.3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row>
    <row r="86" spans="1:35" x14ac:dyDescent="0.3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row>
    <row r="87" spans="1:35" x14ac:dyDescent="0.3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row>
  </sheetData>
  <mergeCells count="3">
    <mergeCell ref="A1:K1"/>
    <mergeCell ref="A2:C2"/>
    <mergeCell ref="A3:C3"/>
  </mergeCells>
  <conditionalFormatting sqref="A2:A3 B4:C5">
    <cfRule type="colorScale" priority="3">
      <colorScale>
        <cfvo type="min"/>
        <cfvo type="percentile" val="50"/>
        <cfvo type="max"/>
        <color rgb="FF00B0F0"/>
        <color theme="3" tint="0.59999389629810485"/>
        <color theme="3"/>
      </colorScale>
    </cfRule>
  </conditionalFormatting>
  <conditionalFormatting sqref="C5">
    <cfRule type="colorScale" priority="2">
      <colorScale>
        <cfvo type="min"/>
        <cfvo type="percentile" val="50"/>
        <cfvo type="max"/>
        <color theme="3"/>
        <color theme="3" tint="0.59999389629810485"/>
        <color theme="3"/>
      </colorScale>
    </cfRule>
  </conditionalFormatting>
  <conditionalFormatting sqref="A4:A5">
    <cfRule type="colorScale" priority="1">
      <colorScale>
        <cfvo type="min"/>
        <cfvo type="percentile" val="50"/>
        <cfvo type="max"/>
        <color rgb="FF00B0F0"/>
        <color theme="3" tint="0.59999389629810485"/>
        <color theme="3"/>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Products</vt:lpstr>
      <vt:lpstr>orders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1</cp:revision>
  <dcterms:created xsi:type="dcterms:W3CDTF">2026-04-08T08:19:03Z</dcterms:created>
  <dcterms:modified xsi:type="dcterms:W3CDTF">2026-04-21T09:12:31Z</dcterms:modified>
  <dc:language>en-US</dc:language>
</cp:coreProperties>
</file>